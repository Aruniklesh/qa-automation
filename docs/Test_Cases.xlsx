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Cases" sheetId="2" state="visible" r:id="rId2"/>
    <sheet name="Data-Driven Scenarios" sheetId="3" state="visible" r:id="rId3"/>
    <sheet name="API Tests" sheetId="4" state="visible" r:id="rId4"/>
    <sheet name="Traceability" sheetId="5" state="visible" r:id="rId5"/>
  </sheets>
  <definedNames>
    <definedName name="_xlnm._FilterDatabase" localSheetId="1" hidden="1">'Test Cases'!$A$4:$N$28</definedName>
    <definedName name="_xlnm._FilterDatabase" localSheetId="2" hidden="1">'Data-Driven Scenarios'!$A$4:$G$20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864"/>
      <sz val="16"/>
    </font>
    <font>
      <name val="Arial"/>
      <i val="1"/>
      <color rgb="00595959"/>
      <sz val="9"/>
    </font>
    <font>
      <name val="Arial"/>
      <b val="1"/>
      <color rgb="00FFFFFF"/>
      <sz val="10"/>
    </font>
    <font>
      <name val="Arial"/>
      <sz val="10"/>
    </font>
    <font>
      <name val="Arial"/>
      <color rgb="00595959"/>
      <sz val="10"/>
    </font>
    <font>
      <name val="Arial"/>
      <b val="1"/>
      <sz val="10"/>
    </font>
  </fonts>
  <fills count="4">
    <fill>
      <patternFill/>
    </fill>
    <fill>
      <patternFill patternType="gray125"/>
    </fill>
    <fill>
      <patternFill patternType="solid">
        <fgColor rgb="001F3864"/>
      </patternFill>
    </fill>
    <fill>
      <patternFill patternType="solid">
        <fgColor rgb="00F2F5F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pivotButton="0" quotePrefix="0" xfId="0"/>
    <xf numFmtId="0" fontId="5" fillId="0" borderId="0" pivotButton="0" quotePrefix="0" xfId="0"/>
    <xf numFmtId="0" fontId="4" fillId="0" borderId="0" pivotButton="0" quotePrefix="0" xfId="0"/>
    <xf numFmtId="0" fontId="6" fillId="0" borderId="0" pivotButton="0" quotePrefix="0" xfId="0"/>
    <xf numFmtId="0" fontId="6" fillId="0" borderId="0" applyAlignment="1" pivotButton="0" quotePrefix="0" xfId="0">
      <alignment horizontal="center" vertical="top" wrapText="1"/>
    </xf>
    <xf numFmtId="0" fontId="3" fillId="2" borderId="0" pivotButton="0" quotePrefix="0" xfId="0"/>
    <xf numFmtId="0" fontId="3" fillId="2" borderId="0" applyAlignment="1" pivotButton="0" quotePrefix="0" xfId="0">
      <alignment horizontal="center" vertical="top" wrapText="1"/>
    </xf>
    <xf numFmtId="0" fontId="4" fillId="0" borderId="1" pivotButton="0" quotePrefix="0" xfId="0"/>
    <xf numFmtId="0" fontId="4" fillId="0" borderId="1" applyAlignment="1" pivotButton="0" quotePrefix="0" xfId="0">
      <alignment horizontal="center" vertical="top" wrapText="1"/>
    </xf>
    <xf numFmtId="0" fontId="4"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top" wrapText="1"/>
    </xf>
    <xf numFmtId="0" fontId="4" fillId="0" borderId="1" applyAlignment="1" pivotButton="0" quotePrefix="0" xfId="0">
      <alignment vertical="top" wrapText="1"/>
    </xf>
    <xf numFmtId="0" fontId="4" fillId="3" borderId="1" applyAlignment="1" pivotButton="0" quotePrefix="0" xfId="0">
      <alignment horizontal="center" vertical="top" wrapText="1"/>
    </xf>
    <xf numFmtId="0" fontId="4" fillId="3" borderId="1" applyAlignment="1" pivotButton="0" quotePrefix="0" xfId="0">
      <alignment vertical="top" wrapText="1"/>
    </xf>
  </cellXfs>
  <cellStyles count="1">
    <cellStyle name="Normal" xfId="0" builtinId="0" hidden="0"/>
  </cellStyles>
  <dxfs count="3">
    <dxf>
      <fill>
        <patternFill patternType="solid">
          <bgColor rgb="00C6EFCE"/>
        </patternFill>
      </fill>
    </dxf>
    <dxf>
      <fill>
        <patternFill patternType="solid">
          <bgColor rgb="00FFC7CE"/>
        </patternFill>
      </fill>
    </dxf>
    <dxf>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6"/>
  <sheetViews>
    <sheetView showGridLines="0" workbookViewId="0">
      <selection activeCell="A1" sqref="A1"/>
    </sheetView>
  </sheetViews>
  <sheetFormatPr baseColWidth="8" defaultRowHeight="15"/>
  <cols>
    <col width="34" customWidth="1" min="1" max="1"/>
    <col width="14" customWidth="1" min="2" max="2"/>
    <col width="70" customWidth="1" min="3" max="3"/>
  </cols>
  <sheetData>
    <row r="1">
      <c r="A1" s="1" t="inlineStr">
        <is>
          <t>Test Case Summary</t>
        </is>
      </c>
    </row>
    <row r="2">
      <c r="A2" s="2" t="inlineStr">
        <is>
          <t>Workplace Pension Platform (Ireland) - Employer and Employee Onboarding Journey</t>
        </is>
      </c>
    </row>
    <row r="3">
      <c r="A3" s="3" t="inlineStr">
        <is>
          <t>Prepared by: Arun RS</t>
        </is>
      </c>
    </row>
    <row r="5">
      <c r="A5" s="4" t="inlineStr">
        <is>
          <t>Total test cases</t>
        </is>
      </c>
      <c r="B5" s="5">
        <f>COUNTA('Test Cases'!A5:A28)</f>
        <v/>
      </c>
    </row>
    <row r="7">
      <c r="A7" s="6" t="inlineStr">
        <is>
          <t>Automation</t>
        </is>
      </c>
      <c r="B7" s="7" t="inlineStr">
        <is>
          <t>Count</t>
        </is>
      </c>
    </row>
    <row r="8">
      <c r="A8" s="8" t="inlineStr">
        <is>
          <t>Yes</t>
        </is>
      </c>
      <c r="B8" s="9">
        <f>COUNTIF('Test Cases'!J5:J28,"Yes")</f>
        <v/>
      </c>
    </row>
    <row r="9">
      <c r="A9" s="8" t="inlineStr">
        <is>
          <t>No</t>
        </is>
      </c>
      <c r="B9" s="9">
        <f>COUNTIF('Test Cases'!J5:J28,"No")</f>
        <v/>
      </c>
    </row>
    <row r="11">
      <c r="A11" s="6" t="inlineStr">
        <is>
          <t>Priority</t>
        </is>
      </c>
      <c r="B11" s="7" t="inlineStr">
        <is>
          <t>Count</t>
        </is>
      </c>
    </row>
    <row r="12">
      <c r="A12" s="8" t="inlineStr">
        <is>
          <t>P1</t>
        </is>
      </c>
      <c r="B12" s="9">
        <f>COUNTIF('Test Cases'!E5:E28,"P1")</f>
        <v/>
      </c>
    </row>
    <row r="13">
      <c r="A13" s="8" t="inlineStr">
        <is>
          <t>P2</t>
        </is>
      </c>
      <c r="B13" s="9">
        <f>COUNTIF('Test Cases'!E5:E28,"P2")</f>
        <v/>
      </c>
    </row>
    <row r="14">
      <c r="A14" s="8" t="inlineStr">
        <is>
          <t>P3</t>
        </is>
      </c>
      <c r="B14" s="9">
        <f>COUNTIF('Test Cases'!E5:E28,"P3")</f>
        <v/>
      </c>
    </row>
    <row r="16">
      <c r="A16" s="6" t="inlineStr">
        <is>
          <t>Type</t>
        </is>
      </c>
      <c r="B16" s="7" t="inlineStr">
        <is>
          <t>Count</t>
        </is>
      </c>
    </row>
    <row r="17">
      <c r="A17" s="8" t="inlineStr">
        <is>
          <t>Positive</t>
        </is>
      </c>
      <c r="B17" s="9">
        <f>COUNTIF('Test Cases'!D5:D28,"Positive")</f>
        <v/>
      </c>
    </row>
    <row r="18">
      <c r="A18" s="8" t="inlineStr">
        <is>
          <t>Negative</t>
        </is>
      </c>
      <c r="B18" s="9">
        <f>COUNTIF('Test Cases'!D5:D28,"Negative")</f>
        <v/>
      </c>
    </row>
    <row r="19">
      <c r="A19" s="8" t="inlineStr">
        <is>
          <t>Edge</t>
        </is>
      </c>
      <c r="B19" s="9">
        <f>COUNTIF('Test Cases'!D5:D28,"Edge")</f>
        <v/>
      </c>
    </row>
    <row r="20">
      <c r="A20" s="8" t="inlineStr">
        <is>
          <t>Positive / Negative</t>
        </is>
      </c>
      <c r="B20" s="9">
        <f>COUNTIF('Test Cases'!D5:D28,"Positive / Negative")</f>
        <v/>
      </c>
    </row>
    <row r="22">
      <c r="A22" s="6" t="inlineStr">
        <is>
          <t>Execution status</t>
        </is>
      </c>
      <c r="B22" s="7" t="inlineStr">
        <is>
          <t>Count</t>
        </is>
      </c>
    </row>
    <row r="23">
      <c r="A23" s="8" t="inlineStr">
        <is>
          <t>Not executed</t>
        </is>
      </c>
      <c r="B23" s="9">
        <f>COUNTIF('Test Cases'!M5:M28,"Not executed")</f>
        <v/>
      </c>
    </row>
    <row r="24">
      <c r="A24" s="8" t="inlineStr">
        <is>
          <t>Pass</t>
        </is>
      </c>
      <c r="B24" s="9">
        <f>COUNTIF('Test Cases'!M5:M28,"Pass")</f>
        <v/>
      </c>
    </row>
    <row r="25">
      <c r="A25" s="8" t="inlineStr">
        <is>
          <t>Fail</t>
        </is>
      </c>
      <c r="B25" s="9">
        <f>COUNTIF('Test Cases'!M5:M28,"Fail")</f>
        <v/>
      </c>
    </row>
    <row r="26">
      <c r="A26" s="8" t="inlineStr">
        <is>
          <t>Blocked</t>
        </is>
      </c>
      <c r="B26" s="9">
        <f>COUNTIF('Test Cases'!M5:M28,"Blocked")</f>
        <v/>
      </c>
    </row>
    <row r="27">
      <c r="A27" s="8" t="inlineStr">
        <is>
          <t>Skipped</t>
        </is>
      </c>
      <c r="B27" s="9">
        <f>COUNTIF('Test Cases'!M5:M28,"Skipped")</f>
        <v/>
      </c>
    </row>
    <row r="29">
      <c r="A29" s="4" t="inlineStr">
        <is>
          <t>Other sheets</t>
        </is>
      </c>
    </row>
    <row r="30">
      <c r="A30" s="3" t="inlineStr">
        <is>
          <t>Test Cases</t>
        </is>
      </c>
      <c r="C30" s="3" t="inlineStr">
        <is>
          <t>24 designed cases with steps, data and expected results</t>
        </is>
      </c>
    </row>
    <row r="31">
      <c r="A31" s="3" t="inlineStr">
        <is>
          <t>Data-Driven Scenarios</t>
        </is>
      </c>
      <c r="C31" s="3" t="inlineStr">
        <is>
          <t>The 16 data rows run by the single Part C test</t>
        </is>
      </c>
    </row>
    <row r="32">
      <c r="A32" s="3" t="inlineStr">
        <is>
          <t>API Tests</t>
        </is>
      </c>
      <c r="C32" s="3" t="inlineStr">
        <is>
          <t>The 6 API checks (D1-D6)</t>
        </is>
      </c>
    </row>
    <row r="33">
      <c r="A33" s="3" t="inlineStr">
        <is>
          <t>Traceability</t>
        </is>
      </c>
      <c r="C33" s="3" t="inlineStr">
        <is>
          <t>Assignment requirement to test case to automated test</t>
        </is>
      </c>
    </row>
    <row r="35" ht="45" customHeight="1">
      <c r="A35" s="4" t="inlineStr">
        <is>
          <t>Status note</t>
        </is>
      </c>
      <c r="C35" s="10" t="inlineStr">
        <is>
          <t>Cases are designed and the automation is written. They have not yet been executed against the QA environment (URLs and logins are supplied separately). Update the Status column after the first QA run.</t>
        </is>
      </c>
    </row>
    <row r="36">
      <c r="A36" s="4" t="inlineStr">
        <is>
          <t>How to update</t>
        </is>
      </c>
      <c r="C36" s="10" t="inlineStr">
        <is>
          <t>Pick Pass / Fail / Blocked in the Status column of 'Test Cases'. The counts above update by themselves.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8"/>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9" customWidth="1" min="1" max="1"/>
    <col width="15" customWidth="1" min="2" max="2"/>
    <col width="38" customWidth="1" min="3" max="3"/>
    <col width="12" customWidth="1" min="4" max="4"/>
    <col width="9" customWidth="1" min="5" max="5"/>
    <col width="28" customWidth="1" min="6" max="6"/>
    <col width="34" customWidth="1" min="7" max="7"/>
    <col width="44" customWidth="1" min="8" max="8"/>
    <col width="40" customWidth="1" min="9" max="9"/>
    <col width="11" customWidth="1" min="10" max="10"/>
    <col width="34" customWidth="1" min="11" max="11"/>
    <col width="22" customWidth="1" min="12" max="12"/>
    <col width="14" customWidth="1" min="13" max="13"/>
    <col width="22" customWidth="1" min="14" max="14"/>
  </cols>
  <sheetData>
    <row r="1">
      <c r="A1" s="1" t="inlineStr">
        <is>
          <t>Test Cases - Employer and Employee Onboarding Journey</t>
        </is>
      </c>
    </row>
    <row r="2">
      <c r="A2" s="11" t="inlineStr">
        <is>
          <t>Status and Actual result stay 'Not executed' until the suite is run against the QA environment.</t>
        </is>
      </c>
    </row>
    <row r="4" ht="30" customHeight="1">
      <c r="A4" s="12" t="inlineStr">
        <is>
          <t>TC ID</t>
        </is>
      </c>
      <c r="B4" s="12" t="inlineStr">
        <is>
          <t>Module</t>
        </is>
      </c>
      <c r="C4" s="12" t="inlineStr">
        <is>
          <t>Scenario</t>
        </is>
      </c>
      <c r="D4" s="12" t="inlineStr">
        <is>
          <t>Type</t>
        </is>
      </c>
      <c r="E4" s="12" t="inlineStr">
        <is>
          <t>Priority</t>
        </is>
      </c>
      <c r="F4" s="12" t="inlineStr">
        <is>
          <t>Preconditions</t>
        </is>
      </c>
      <c r="G4" s="12" t="inlineStr">
        <is>
          <t>Test data</t>
        </is>
      </c>
      <c r="H4" s="12" t="inlineStr">
        <is>
          <t>Steps</t>
        </is>
      </c>
      <c r="I4" s="12" t="inlineStr">
        <is>
          <t>Expected result</t>
        </is>
      </c>
      <c r="J4" s="12" t="inlineStr">
        <is>
          <t>Automated</t>
        </is>
      </c>
      <c r="K4" s="12" t="inlineStr">
        <is>
          <t>Automation reference</t>
        </is>
      </c>
      <c r="L4" s="12" t="inlineStr">
        <is>
          <t>Actual result</t>
        </is>
      </c>
      <c r="M4" s="12" t="inlineStr">
        <is>
          <t>Status</t>
        </is>
      </c>
      <c r="N4" s="12" t="inlineStr">
        <is>
          <t>Remarks</t>
        </is>
      </c>
    </row>
    <row r="5" ht="105" customHeight="1">
      <c r="A5" s="9" t="inlineStr">
        <is>
          <t>TC-01</t>
        </is>
      </c>
      <c r="B5" s="13" t="inlineStr">
        <is>
          <t>Authentication</t>
        </is>
      </c>
      <c r="C5" s="13" t="inlineStr">
        <is>
          <t>Admin logs in to the Admin portal with the test account</t>
        </is>
      </c>
      <c r="D5" s="9" t="inlineStr">
        <is>
          <t>Positive</t>
        </is>
      </c>
      <c r="E5" s="9" t="inlineStr">
        <is>
          <t>P1</t>
        </is>
      </c>
      <c r="F5" s="13" t="inlineStr">
        <is>
          <t>Admin portal URL and Admin test login supplied; browser available</t>
        </is>
      </c>
      <c r="G5" s="13" t="inlineStr">
        <is>
          <t>admin.username / admin.password from secrets</t>
        </is>
      </c>
      <c r="H5" s="13" t="inlineStr">
        <is>
          <t>1. Open the Admin portal URL
2. Enter username and password
3. Click Log in</t>
        </is>
      </c>
      <c r="I5" s="13" t="inlineStr">
        <is>
          <t>Admin lands on the dashboard; the Employers menu is visible</t>
        </is>
      </c>
      <c r="J5" s="9" t="inlineStr">
        <is>
          <t>Yes</t>
        </is>
      </c>
      <c r="K5" s="13" t="inlineStr">
        <is>
          <t>AdminPortalJourneyTest.adminLogsIn</t>
        </is>
      </c>
      <c r="L5" s="13" t="inlineStr">
        <is>
          <t>Not yet run on QA</t>
        </is>
      </c>
      <c r="M5" s="9" t="inlineStr">
        <is>
          <t>Not executed</t>
        </is>
      </c>
      <c r="N5" s="13" t="inlineStr"/>
    </row>
    <row r="6" ht="105" customHeight="1">
      <c r="A6" s="14" t="inlineStr">
        <is>
          <t>TC-02</t>
        </is>
      </c>
      <c r="B6" s="15" t="inlineStr">
        <is>
          <t>Authentication</t>
        </is>
      </c>
      <c r="C6" s="15" t="inlineStr">
        <is>
          <t>Admin login with a wrong password is refused</t>
        </is>
      </c>
      <c r="D6" s="14" t="inlineStr">
        <is>
          <t>Negative</t>
        </is>
      </c>
      <c r="E6" s="14" t="inlineStr">
        <is>
          <t>P1</t>
        </is>
      </c>
      <c r="F6" s="15" t="inlineStr">
        <is>
          <t>Admin portal reachable</t>
        </is>
      </c>
      <c r="G6" s="15" t="inlineStr">
        <is>
          <t>Valid username, wrong password</t>
        </is>
      </c>
      <c r="H6" s="15" t="inlineStr">
        <is>
          <t>1. Open the Admin portal
2. Enter username and a wrong password
3. Click Log in</t>
        </is>
      </c>
      <c r="I6" s="15" t="inlineStr">
        <is>
          <t>Access denied with an error message; user stays on the login page</t>
        </is>
      </c>
      <c r="J6" s="14" t="inlineStr">
        <is>
          <t>No</t>
        </is>
      </c>
      <c r="K6" s="15" t="inlineStr">
        <is>
          <t>Manual (candidate for later)</t>
        </is>
      </c>
      <c r="L6" s="15" t="inlineStr">
        <is>
          <t>Not yet run on QA</t>
        </is>
      </c>
      <c r="M6" s="14" t="inlineStr">
        <is>
          <t>Not executed</t>
        </is>
      </c>
      <c r="N6" s="15" t="inlineStr"/>
    </row>
    <row r="7" ht="105" customHeight="1">
      <c r="A7" s="9" t="inlineStr">
        <is>
          <t>TC-03</t>
        </is>
      </c>
      <c r="B7" s="13" t="inlineStr">
        <is>
          <t>Employer</t>
        </is>
      </c>
      <c r="C7" s="13" t="inlineStr">
        <is>
          <t>Create an employer with unique QA-AUTO- data</t>
        </is>
      </c>
      <c r="D7" s="9" t="inlineStr">
        <is>
          <t>Positive</t>
        </is>
      </c>
      <c r="E7" s="9" t="inlineStr">
        <is>
          <t>P1</t>
        </is>
      </c>
      <c r="F7" s="13" t="inlineStr">
        <is>
          <t>TC-01 passed (Admin logged in)</t>
        </is>
      </c>
      <c r="G7" s="13" t="inlineStr">
        <is>
          <t>Name QA-AUTO-Employer-&lt;runId&gt;; unique 6-digit CRN; address from lookup; payroll day; valid Irish IBAN; BIC</t>
        </is>
      </c>
      <c r="H7" s="13" t="inlineStr">
        <is>
          <t>1. Employers &gt; Add employer
2. Enter company name and CRN
3. Use address lookup and pick the first suggestion
4. Set payroll date
5. Enter IBAN and BIC
6. Save</t>
        </is>
      </c>
      <c r="I7" s="13" t="inlineStr">
        <is>
          <t>Success message is shown; the employer appears in the employer list with its status</t>
        </is>
      </c>
      <c r="J7" s="9" t="inlineStr">
        <is>
          <t>Yes</t>
        </is>
      </c>
      <c r="K7" s="13" t="inlineStr">
        <is>
          <t>AdminPortalJourneyTest.adminCreatesEmployer</t>
        </is>
      </c>
      <c r="L7" s="13" t="inlineStr">
        <is>
          <t>Not yet run on QA</t>
        </is>
      </c>
      <c r="M7" s="9" t="inlineStr">
        <is>
          <t>Not executed</t>
        </is>
      </c>
      <c r="N7" s="13" t="inlineStr"/>
    </row>
    <row r="8" ht="105" customHeight="1">
      <c r="A8" s="14" t="inlineStr">
        <is>
          <t>TC-04</t>
        </is>
      </c>
      <c r="B8" s="15" t="inlineStr">
        <is>
          <t>Employer</t>
        </is>
      </c>
      <c r="C8" s="15" t="inlineStr">
        <is>
          <t>Create employer with mandatory fields left empty</t>
        </is>
      </c>
      <c r="D8" s="14" t="inlineStr">
        <is>
          <t>Negative</t>
        </is>
      </c>
      <c r="E8" s="14" t="inlineStr">
        <is>
          <t>P2</t>
        </is>
      </c>
      <c r="F8" s="15" t="inlineStr">
        <is>
          <t>Admin logged in</t>
        </is>
      </c>
      <c r="G8" s="15" t="inlineStr">
        <is>
          <t>All employer fields blank</t>
        </is>
      </c>
      <c r="H8" s="15" t="inlineStr">
        <is>
          <t>1. Employers &gt; Add employer
2. Click Save without entering data</t>
        </is>
      </c>
      <c r="I8" s="15" t="inlineStr">
        <is>
          <t>Form is not saved; field errors show the missing mandatory fields</t>
        </is>
      </c>
      <c r="J8" s="14" t="inlineStr">
        <is>
          <t>No</t>
        </is>
      </c>
      <c r="K8" s="15" t="inlineStr">
        <is>
          <t>Manual</t>
        </is>
      </c>
      <c r="L8" s="15" t="inlineStr">
        <is>
          <t>Not yet run on QA</t>
        </is>
      </c>
      <c r="M8" s="14" t="inlineStr">
        <is>
          <t>Not executed</t>
        </is>
      </c>
      <c r="N8" s="15" t="inlineStr"/>
    </row>
    <row r="9" ht="105" customHeight="1">
      <c r="A9" s="9" t="inlineStr">
        <is>
          <t>TC-05</t>
        </is>
      </c>
      <c r="B9" s="13" t="inlineStr">
        <is>
          <t>Employer</t>
        </is>
      </c>
      <c r="C9" s="13" t="inlineStr">
        <is>
          <t>Create employer with an invalid IBAN or BIC</t>
        </is>
      </c>
      <c r="D9" s="9" t="inlineStr">
        <is>
          <t>Negative</t>
        </is>
      </c>
      <c r="E9" s="9" t="inlineStr">
        <is>
          <t>P1</t>
        </is>
      </c>
      <c r="F9" s="13" t="inlineStr">
        <is>
          <t>Admin logged in</t>
        </is>
      </c>
      <c r="G9" s="13" t="inlineStr">
        <is>
          <t>IBAN with wrong check digits; malformed BIC</t>
        </is>
      </c>
      <c r="H9" s="13" t="inlineStr">
        <is>
          <t>1. Fill the form with an invalid IBAN
2. Save</t>
        </is>
      </c>
      <c r="I9" s="13" t="inlineStr">
        <is>
          <t>Rejected with a clear bank-details error; no employer created</t>
        </is>
      </c>
      <c r="J9" s="9" t="inlineStr">
        <is>
          <t>No</t>
        </is>
      </c>
      <c r="K9" s="13" t="inlineStr">
        <is>
          <t>Manual / next automation candidate</t>
        </is>
      </c>
      <c r="L9" s="13" t="inlineStr">
        <is>
          <t>Not yet run on QA</t>
        </is>
      </c>
      <c r="M9" s="9" t="inlineStr">
        <is>
          <t>Not executed</t>
        </is>
      </c>
      <c r="N9" s="13" t="inlineStr"/>
    </row>
    <row r="10" ht="105" customHeight="1">
      <c r="A10" s="14" t="inlineStr">
        <is>
          <t>TC-06</t>
        </is>
      </c>
      <c r="B10" s="15" t="inlineStr">
        <is>
          <t>Employer</t>
        </is>
      </c>
      <c r="C10" s="15" t="inlineStr">
        <is>
          <t>Create employer with a CRN that already exists</t>
        </is>
      </c>
      <c r="D10" s="14" t="inlineStr">
        <is>
          <t>Negative</t>
        </is>
      </c>
      <c r="E10" s="14" t="inlineStr">
        <is>
          <t>P2</t>
        </is>
      </c>
      <c r="F10" s="15" t="inlineStr">
        <is>
          <t>An employer with CRN X exists</t>
        </is>
      </c>
      <c r="G10" s="15" t="inlineStr">
        <is>
          <t>Second employer using CRN X</t>
        </is>
      </c>
      <c r="H10" s="15" t="inlineStr">
        <is>
          <t>1. Add employer with a duplicate CRN
2. Save</t>
        </is>
      </c>
      <c r="I10" s="15" t="inlineStr">
        <is>
          <t>Rejected with a duplicate error</t>
        </is>
      </c>
      <c r="J10" s="14" t="inlineStr">
        <is>
          <t>No</t>
        </is>
      </c>
      <c r="K10" s="15" t="inlineStr">
        <is>
          <t>Manual</t>
        </is>
      </c>
      <c r="L10" s="15" t="inlineStr">
        <is>
          <t>Not yet run on QA</t>
        </is>
      </c>
      <c r="M10" s="14" t="inlineStr">
        <is>
          <t>Not executed</t>
        </is>
      </c>
      <c r="N10" s="15" t="inlineStr"/>
    </row>
    <row r="11" ht="105" customHeight="1">
      <c r="A11" s="9" t="inlineStr">
        <is>
          <t>TC-07</t>
        </is>
      </c>
      <c r="B11" s="13" t="inlineStr">
        <is>
          <t>Employer Admin</t>
        </is>
      </c>
      <c r="C11" s="13" t="inlineStr">
        <is>
          <t>Add an employer admin to the new employer</t>
        </is>
      </c>
      <c r="D11" s="9" t="inlineStr">
        <is>
          <t>Positive</t>
        </is>
      </c>
      <c r="E11" s="9" t="inlineStr">
        <is>
          <t>P1</t>
        </is>
      </c>
      <c r="F11" s="13" t="inlineStr">
        <is>
          <t>TC-03 passed; test inbox configured</t>
        </is>
      </c>
      <c r="G11" s="13" t="inlineStr">
        <is>
          <t>First name QA-AUTO-Admin; unique last name; email = inbox +alias; Irish mobile; economic status; occupation; PEP = No</t>
        </is>
      </c>
      <c r="H11" s="13" t="inlineStr">
        <is>
          <t>1. Open the employer
2. Go to its admins section
3. Add admin and fill every field
4. Answer the PEP question
5. Save</t>
        </is>
      </c>
      <c r="I11" s="13" t="inlineStr">
        <is>
          <t>Admin is listed for the employer; an invite email is sent</t>
        </is>
      </c>
      <c r="J11" s="9" t="inlineStr">
        <is>
          <t>Yes</t>
        </is>
      </c>
      <c r="K11" s="13" t="inlineStr">
        <is>
          <t>AdminPortalJourneyTest.adminAddsEmployerAdmin</t>
        </is>
      </c>
      <c r="L11" s="13" t="inlineStr">
        <is>
          <t>Not yet run on QA</t>
        </is>
      </c>
      <c r="M11" s="9" t="inlineStr">
        <is>
          <t>Not executed</t>
        </is>
      </c>
      <c r="N11" s="13" t="inlineStr"/>
    </row>
    <row r="12" ht="105" customHeight="1">
      <c r="A12" s="14" t="inlineStr">
        <is>
          <t>TC-08</t>
        </is>
      </c>
      <c r="B12" s="15" t="inlineStr">
        <is>
          <t>Employer Admin</t>
        </is>
      </c>
      <c r="C12" s="15" t="inlineStr">
        <is>
          <t>Add employer admin with PEP answered Yes</t>
        </is>
      </c>
      <c r="D12" s="14" t="inlineStr">
        <is>
          <t>Edge</t>
        </is>
      </c>
      <c r="E12" s="14" t="inlineStr">
        <is>
          <t>P2</t>
        </is>
      </c>
      <c r="F12" s="15" t="inlineStr">
        <is>
          <t>Employer exists</t>
        </is>
      </c>
      <c r="G12" s="15" t="inlineStr">
        <is>
          <t>PEP = Yes</t>
        </is>
      </c>
      <c r="H12" s="15" t="inlineStr">
        <is>
          <t>1. Add admin with PEP = Yes
2. Save</t>
        </is>
      </c>
      <c r="I12" s="15" t="inlineStr">
        <is>
          <t>Behaviour follows the compliance rule (needs clarification from the provider)</t>
        </is>
      </c>
      <c r="J12" s="14" t="inlineStr">
        <is>
          <t>No</t>
        </is>
      </c>
      <c r="K12" s="15" t="inlineStr">
        <is>
          <t>Manual (rule unknown)</t>
        </is>
      </c>
      <c r="L12" s="15" t="inlineStr">
        <is>
          <t>Not yet run on QA</t>
        </is>
      </c>
      <c r="M12" s="14" t="inlineStr">
        <is>
          <t>Not executed</t>
        </is>
      </c>
      <c r="N12" s="15" t="inlineStr"/>
    </row>
    <row r="13" ht="105" customHeight="1">
      <c r="A13" s="9" t="inlineStr">
        <is>
          <t>TC-09</t>
        </is>
      </c>
      <c r="B13" s="13" t="inlineStr">
        <is>
          <t>Employer Admin</t>
        </is>
      </c>
      <c r="C13" s="13" t="inlineStr">
        <is>
          <t>Employer admin receives the invite email with a verification code</t>
        </is>
      </c>
      <c r="D13" s="9" t="inlineStr">
        <is>
          <t>Positive</t>
        </is>
      </c>
      <c r="E13" s="9" t="inlineStr">
        <is>
          <t>P1</t>
        </is>
      </c>
      <c r="F13" s="13" t="inlineStr">
        <is>
          <t>TC-07 passed; Gmail IMAP login works</t>
        </is>
      </c>
      <c r="G13" s="13" t="inlineStr">
        <is>
          <t>Run-unique +alias address</t>
        </is>
      </c>
      <c r="H13" s="13" t="inlineStr">
        <is>
          <t>1. Wait for the invite in the test inbox (polling, with timeout)
2. Read the verification code and the portal link</t>
        </is>
      </c>
      <c r="I13" s="13" t="inlineStr">
        <is>
          <t>Email arrives within the timeout; code and Employer portal link are found</t>
        </is>
      </c>
      <c r="J13" s="9" t="inlineStr">
        <is>
          <t>Yes</t>
        </is>
      </c>
      <c r="K13" s="13" t="inlineStr">
        <is>
          <t>EmployerPortalJourneyTest.employerAdminActivatesAccountFromInvite</t>
        </is>
      </c>
      <c r="L13" s="13" t="inlineStr">
        <is>
          <t>Not yet run on QA</t>
        </is>
      </c>
      <c r="M13" s="9" t="inlineStr">
        <is>
          <t>Not executed</t>
        </is>
      </c>
      <c r="N13" s="13" t="inlineStr"/>
    </row>
    <row r="14" ht="105" customHeight="1">
      <c r="A14" s="14" t="inlineStr">
        <is>
          <t>TC-10</t>
        </is>
      </c>
      <c r="B14" s="15" t="inlineStr">
        <is>
          <t>Authentication</t>
        </is>
      </c>
      <c r="C14" s="15" t="inlineStr">
        <is>
          <t>First login: follow the invite link, enter the code, set a password</t>
        </is>
      </c>
      <c r="D14" s="14" t="inlineStr">
        <is>
          <t>Positive</t>
        </is>
      </c>
      <c r="E14" s="14" t="inlineStr">
        <is>
          <t>P1</t>
        </is>
      </c>
      <c r="F14" s="15" t="inlineStr">
        <is>
          <t>TC-09 passed</t>
        </is>
      </c>
      <c r="G14" s="15" t="inlineStr">
        <is>
          <t>Code from the email; generated strong password</t>
        </is>
      </c>
      <c r="H14" s="15" t="inlineStr">
        <is>
          <t>1. Open the invite link
2. Enter the verification code
3. Set a password</t>
        </is>
      </c>
      <c r="I14" s="15" t="inlineStr">
        <is>
          <t>Employer dashboard loads and shows only that employer</t>
        </is>
      </c>
      <c r="J14" s="14" t="inlineStr">
        <is>
          <t>Yes</t>
        </is>
      </c>
      <c r="K14" s="15" t="inlineStr">
        <is>
          <t>EmployerPortalJourneyTest.employerAdminActivatesAccountFromInvite</t>
        </is>
      </c>
      <c r="L14" s="15" t="inlineStr">
        <is>
          <t>Not yet run on QA</t>
        </is>
      </c>
      <c r="M14" s="14" t="inlineStr">
        <is>
          <t>Not executed</t>
        </is>
      </c>
      <c r="N14" s="15" t="inlineStr"/>
    </row>
    <row r="15" ht="105" customHeight="1">
      <c r="A15" s="9" t="inlineStr">
        <is>
          <t>TC-11</t>
        </is>
      </c>
      <c r="B15" s="13" t="inlineStr">
        <is>
          <t>Authentication</t>
        </is>
      </c>
      <c r="C15" s="13" t="inlineStr">
        <is>
          <t>First login with a wrong or expired verification code</t>
        </is>
      </c>
      <c r="D15" s="9" t="inlineStr">
        <is>
          <t>Negative</t>
        </is>
      </c>
      <c r="E15" s="9" t="inlineStr">
        <is>
          <t>P2</t>
        </is>
      </c>
      <c r="F15" s="13" t="inlineStr">
        <is>
          <t>Invite email received</t>
        </is>
      </c>
      <c r="G15" s="13" t="inlineStr">
        <is>
          <t>Wrong code</t>
        </is>
      </c>
      <c r="H15" s="13" t="inlineStr">
        <is>
          <t>1. Open the invite link
2. Enter a wrong code</t>
        </is>
      </c>
      <c r="I15" s="13" t="inlineStr">
        <is>
          <t>Code rejected with an error; no password step</t>
        </is>
      </c>
      <c r="J15" s="9" t="inlineStr">
        <is>
          <t>No</t>
        </is>
      </c>
      <c r="K15" s="13" t="inlineStr">
        <is>
          <t>Manual</t>
        </is>
      </c>
      <c r="L15" s="13" t="inlineStr">
        <is>
          <t>Not yet run on QA</t>
        </is>
      </c>
      <c r="M15" s="9" t="inlineStr">
        <is>
          <t>Not executed</t>
        </is>
      </c>
      <c r="N15" s="13" t="inlineStr"/>
    </row>
    <row r="16" ht="105" customHeight="1">
      <c r="A16" s="14" t="inlineStr">
        <is>
          <t>TC-12</t>
        </is>
      </c>
      <c r="B16" s="15" t="inlineStr">
        <is>
          <t>Authentication</t>
        </is>
      </c>
      <c r="C16" s="15" t="inlineStr">
        <is>
          <t>Employer admin logs in again with the new password</t>
        </is>
      </c>
      <c r="D16" s="14" t="inlineStr">
        <is>
          <t>Positive</t>
        </is>
      </c>
      <c r="E16" s="14" t="inlineStr">
        <is>
          <t>P1</t>
        </is>
      </c>
      <c r="F16" s="15" t="inlineStr">
        <is>
          <t>TC-10 passed</t>
        </is>
      </c>
      <c r="G16" s="15" t="inlineStr">
        <is>
          <t>Admin email and the new password</t>
        </is>
      </c>
      <c r="H16" s="15" t="inlineStr">
        <is>
          <t>1. Log out
2. Open the Employer portal
3. Log in with the new credentials</t>
        </is>
      </c>
      <c r="I16" s="15" t="inlineStr">
        <is>
          <t>Dashboard loads for that employer only</t>
        </is>
      </c>
      <c r="J16" s="14" t="inlineStr">
        <is>
          <t>Yes</t>
        </is>
      </c>
      <c r="K16" s="15" t="inlineStr">
        <is>
          <t>EmployerPortalJourneyTest.employerAdminLogsIn</t>
        </is>
      </c>
      <c r="L16" s="15" t="inlineStr">
        <is>
          <t>Not yet run on QA</t>
        </is>
      </c>
      <c r="M16" s="14" t="inlineStr">
        <is>
          <t>Not executed</t>
        </is>
      </c>
      <c r="N16" s="15" t="inlineStr"/>
    </row>
    <row r="17" ht="105" customHeight="1">
      <c r="A17" s="9" t="inlineStr">
        <is>
          <t>TC-13</t>
        </is>
      </c>
      <c r="B17" s="13" t="inlineStr">
        <is>
          <t>Employee</t>
        </is>
      </c>
      <c r="C17" s="13" t="inlineStr">
        <is>
          <t>Add one employee manually and verify they appear in the list</t>
        </is>
      </c>
      <c r="D17" s="9" t="inlineStr">
        <is>
          <t>Positive</t>
        </is>
      </c>
      <c r="E17" s="9" t="inlineStr">
        <is>
          <t>P1</t>
        </is>
      </c>
      <c r="F17" s="13" t="inlineStr">
        <is>
          <t>Employer admin logged in</t>
        </is>
      </c>
      <c r="G17" s="13" t="inlineStr">
        <is>
          <t>QA-AUTO- name; unique email; Irish mobile; adult date of birth; valid PPSN; start date today</t>
        </is>
      </c>
      <c r="H17" s="13" t="inlineStr">
        <is>
          <t>1. Employees &gt; Add employee
2. Fill all fields
3. Save
4. Open the employee list and search the email</t>
        </is>
      </c>
      <c r="I17" s="13" t="inlineStr">
        <is>
          <t>Success message; employee appears in the list</t>
        </is>
      </c>
      <c r="J17" s="9" t="inlineStr">
        <is>
          <t>Yes</t>
        </is>
      </c>
      <c r="K17" s="13" t="inlineStr">
        <is>
          <t>EmployerPortalJourneyTest.addEmployeeManually</t>
        </is>
      </c>
      <c r="L17" s="13" t="inlineStr">
        <is>
          <t>Not yet run on QA</t>
        </is>
      </c>
      <c r="M17" s="9" t="inlineStr">
        <is>
          <t>Not executed</t>
        </is>
      </c>
      <c r="N17" s="13" t="inlineStr"/>
    </row>
    <row r="18" ht="105" customHeight="1">
      <c r="A18" s="14" t="inlineStr">
        <is>
          <t>TC-14</t>
        </is>
      </c>
      <c r="B18" s="15" t="inlineStr">
        <is>
          <t>Employee</t>
        </is>
      </c>
      <c r="C18" s="15" t="inlineStr">
        <is>
          <t>Manually added employee receives the introduction email</t>
        </is>
      </c>
      <c r="D18" s="14" t="inlineStr">
        <is>
          <t>Positive</t>
        </is>
      </c>
      <c r="E18" s="14" t="inlineStr">
        <is>
          <t>P2</t>
        </is>
      </c>
      <c r="F18" s="15" t="inlineStr">
        <is>
          <t>TC-13 passed; employee email is an inbox +alias</t>
        </is>
      </c>
      <c r="G18" s="15" t="inlineStr">
        <is>
          <t>Employee +alias email</t>
        </is>
      </c>
      <c r="H18" s="15" t="inlineStr">
        <is>
          <t>1. Wait for the introduction email in the test inbox</t>
        </is>
      </c>
      <c r="I18" s="15" t="inlineStr">
        <is>
          <t>Email arrives inviting the employee to download the app</t>
        </is>
      </c>
      <c r="J18" s="14" t="inlineStr">
        <is>
          <t>Yes</t>
        </is>
      </c>
      <c r="K18" s="15" t="inlineStr">
        <is>
          <t>EmployerPortalJourneyTest.employeeReceivesIntroductionEmail</t>
        </is>
      </c>
      <c r="L18" s="15" t="inlineStr">
        <is>
          <t>Not yet run on QA</t>
        </is>
      </c>
      <c r="M18" s="14" t="inlineStr">
        <is>
          <t>Not executed</t>
        </is>
      </c>
      <c r="N18" s="15" t="inlineStr"/>
    </row>
    <row r="19" ht="105" customHeight="1">
      <c r="A19" s="9" t="inlineStr">
        <is>
          <t>TC-15</t>
        </is>
      </c>
      <c r="B19" s="13" t="inlineStr">
        <is>
          <t>Employee</t>
        </is>
      </c>
      <c r="C19" s="13" t="inlineStr">
        <is>
          <t>Add employee with mandatory fields empty</t>
        </is>
      </c>
      <c r="D19" s="9" t="inlineStr">
        <is>
          <t>Negative</t>
        </is>
      </c>
      <c r="E19" s="9" t="inlineStr">
        <is>
          <t>P1</t>
        </is>
      </c>
      <c r="F19" s="13" t="inlineStr">
        <is>
          <t>Employer admin logged in</t>
        </is>
      </c>
      <c r="G19" s="13" t="inlineStr">
        <is>
          <t>Scenarios C01-C03</t>
        </is>
      </c>
      <c r="H19" s="13" t="inlineStr">
        <is>
          <t>1. Open Add employee
2. Leave fields empty (per scenario)
3. Save</t>
        </is>
      </c>
      <c r="I19" s="13" t="inlineStr">
        <is>
          <t>Validation message shown; form stays open; employee not saved</t>
        </is>
      </c>
      <c r="J19" s="9" t="inlineStr">
        <is>
          <t>Yes</t>
        </is>
      </c>
      <c r="K19" s="13" t="inlineStr">
        <is>
          <t>EmployeeValidationTest (C01-C03)</t>
        </is>
      </c>
      <c r="L19" s="13" t="inlineStr">
        <is>
          <t>Not yet run on QA</t>
        </is>
      </c>
      <c r="M19" s="9" t="inlineStr">
        <is>
          <t>Not executed</t>
        </is>
      </c>
      <c r="N19" s="13" t="inlineStr"/>
    </row>
    <row r="20" ht="105" customHeight="1">
      <c r="A20" s="14" t="inlineStr">
        <is>
          <t>TC-16</t>
        </is>
      </c>
      <c r="B20" s="15" t="inlineStr">
        <is>
          <t>Employee</t>
        </is>
      </c>
      <c r="C20" s="15" t="inlineStr">
        <is>
          <t>Add employee with invalid email formats</t>
        </is>
      </c>
      <c r="D20" s="14" t="inlineStr">
        <is>
          <t>Negative</t>
        </is>
      </c>
      <c r="E20" s="14" t="inlineStr">
        <is>
          <t>P1</t>
        </is>
      </c>
      <c r="F20" s="15" t="inlineStr">
        <is>
          <t>Employer admin logged in</t>
        </is>
      </c>
      <c r="G20" s="15" t="inlineStr">
        <is>
          <t>Scenarios C04-C06</t>
        </is>
      </c>
      <c r="H20" s="15" t="inlineStr">
        <is>
          <t>1. Open Add employee
2. Enter an invalid email, other fields valid
3. Save</t>
        </is>
      </c>
      <c r="I20" s="15" t="inlineStr">
        <is>
          <t>Validation message shown; employee not saved</t>
        </is>
      </c>
      <c r="J20" s="14" t="inlineStr">
        <is>
          <t>Yes</t>
        </is>
      </c>
      <c r="K20" s="15" t="inlineStr">
        <is>
          <t>EmployeeValidationTest (C04-C06)</t>
        </is>
      </c>
      <c r="L20" s="15" t="inlineStr">
        <is>
          <t>Not yet run on QA</t>
        </is>
      </c>
      <c r="M20" s="14" t="inlineStr">
        <is>
          <t>Not executed</t>
        </is>
      </c>
      <c r="N20" s="15" t="inlineStr"/>
    </row>
    <row r="21" ht="105" customHeight="1">
      <c r="A21" s="9" t="inlineStr">
        <is>
          <t>TC-17</t>
        </is>
      </c>
      <c r="B21" s="13" t="inlineStr">
        <is>
          <t>Employee</t>
        </is>
      </c>
      <c r="C21" s="13" t="inlineStr">
        <is>
          <t>Add employee with an invalid PPSN</t>
        </is>
      </c>
      <c r="D21" s="9" t="inlineStr">
        <is>
          <t>Negative</t>
        </is>
      </c>
      <c r="E21" s="9" t="inlineStr">
        <is>
          <t>P1</t>
        </is>
      </c>
      <c r="F21" s="13" t="inlineStr">
        <is>
          <t>Employer admin logged in</t>
        </is>
      </c>
      <c r="G21" s="13" t="inlineStr">
        <is>
          <t>Scenarios C07-C10 (6 digits, no letter, 3 letters, letters first)</t>
        </is>
      </c>
      <c r="H21" s="13" t="inlineStr">
        <is>
          <t>1. Open Add employee
2. Enter an invalid PPSN, other fields valid
3. Save</t>
        </is>
      </c>
      <c r="I21" s="13" t="inlineStr">
        <is>
          <t>Validation message shown; employee not saved</t>
        </is>
      </c>
      <c r="J21" s="9" t="inlineStr">
        <is>
          <t>Yes</t>
        </is>
      </c>
      <c r="K21" s="13" t="inlineStr">
        <is>
          <t>EmployeeValidationTest (C07-C10)</t>
        </is>
      </c>
      <c r="L21" s="13" t="inlineStr">
        <is>
          <t>Not yet run on QA</t>
        </is>
      </c>
      <c r="M21" s="9" t="inlineStr">
        <is>
          <t>Not executed</t>
        </is>
      </c>
      <c r="N21" s="13" t="inlineStr"/>
    </row>
    <row r="22" ht="105" customHeight="1">
      <c r="A22" s="14" t="inlineStr">
        <is>
          <t>TC-18</t>
        </is>
      </c>
      <c r="B22" s="15" t="inlineStr">
        <is>
          <t>Employee</t>
        </is>
      </c>
      <c r="C22" s="15" t="inlineStr">
        <is>
          <t>Add employee with an invalid mobile number</t>
        </is>
      </c>
      <c r="D22" s="14" t="inlineStr">
        <is>
          <t>Negative</t>
        </is>
      </c>
      <c r="E22" s="14" t="inlineStr">
        <is>
          <t>P2</t>
        </is>
      </c>
      <c r="F22" s="15" t="inlineStr">
        <is>
          <t>Employer admin logged in</t>
        </is>
      </c>
      <c r="G22" s="15" t="inlineStr">
        <is>
          <t>Scenarios C11-C12 (too short, letters)</t>
        </is>
      </c>
      <c r="H22" s="15" t="inlineStr">
        <is>
          <t>1. Open Add employee
2. Enter an invalid mobile
3. Save</t>
        </is>
      </c>
      <c r="I22" s="15" t="inlineStr">
        <is>
          <t>Validation message shown; employee not saved</t>
        </is>
      </c>
      <c r="J22" s="14" t="inlineStr">
        <is>
          <t>Yes</t>
        </is>
      </c>
      <c r="K22" s="15" t="inlineStr">
        <is>
          <t>EmployeeValidationTest (C11-C12)</t>
        </is>
      </c>
      <c r="L22" s="15" t="inlineStr">
        <is>
          <t>Not yet run on QA</t>
        </is>
      </c>
      <c r="M22" s="14" t="inlineStr">
        <is>
          <t>Not executed</t>
        </is>
      </c>
      <c r="N22" s="15" t="inlineStr"/>
    </row>
    <row r="23" ht="105" customHeight="1">
      <c r="A23" s="9" t="inlineStr">
        <is>
          <t>TC-19</t>
        </is>
      </c>
      <c r="B23" s="13" t="inlineStr">
        <is>
          <t>Employee</t>
        </is>
      </c>
      <c r="C23" s="13" t="inlineStr">
        <is>
          <t>Add a duplicate employee (same PPSN, or same email)</t>
        </is>
      </c>
      <c r="D23" s="9" t="inlineStr">
        <is>
          <t>Negative</t>
        </is>
      </c>
      <c r="E23" s="9" t="inlineStr">
        <is>
          <t>P1</t>
        </is>
      </c>
      <c r="F23" s="13" t="inlineStr">
        <is>
          <t>A seed employee exists (created before the scenarios run)</t>
        </is>
      </c>
      <c r="G23" s="13" t="inlineStr">
        <is>
          <t>Scenarios C13-C14</t>
        </is>
      </c>
      <c r="H23" s="13" t="inlineStr">
        <is>
          <t>1. Open Add employee
2. Reuse the seed employee's PPSN (or email)
3. Save</t>
        </is>
      </c>
      <c r="I23" s="13" t="inlineStr">
        <is>
          <t>Duplicate rejected with a message; no second record</t>
        </is>
      </c>
      <c r="J23" s="9" t="inlineStr">
        <is>
          <t>Yes</t>
        </is>
      </c>
      <c r="K23" s="13" t="inlineStr">
        <is>
          <t>EmployeeValidationTest (C13-C14)</t>
        </is>
      </c>
      <c r="L23" s="13" t="inlineStr">
        <is>
          <t>Not yet run on QA</t>
        </is>
      </c>
      <c r="M23" s="9" t="inlineStr">
        <is>
          <t>Not executed</t>
        </is>
      </c>
      <c r="N23" s="13" t="inlineStr"/>
    </row>
    <row r="24" ht="105" customHeight="1">
      <c r="A24" s="14" t="inlineStr">
        <is>
          <t>TC-20</t>
        </is>
      </c>
      <c r="B24" s="15" t="inlineStr">
        <is>
          <t>Employee</t>
        </is>
      </c>
      <c r="C24" s="15" t="inlineStr">
        <is>
          <t>Add employee under 18, including the boundary 'turns 18 tomorrow'</t>
        </is>
      </c>
      <c r="D24" s="14" t="inlineStr">
        <is>
          <t>Edge</t>
        </is>
      </c>
      <c r="E24" s="14" t="inlineStr">
        <is>
          <t>P1</t>
        </is>
      </c>
      <c r="F24" s="15" t="inlineStr">
        <is>
          <t>Employer admin logged in</t>
        </is>
      </c>
      <c r="G24" s="15" t="inlineStr">
        <is>
          <t>Scenarios C15-C16 (age 16; 18th birthday tomorrow)</t>
        </is>
      </c>
      <c r="H24" s="15" t="inlineStr">
        <is>
          <t>1. Open Add employee
2. Enter a date of birth under 18
3. Save</t>
        </is>
      </c>
      <c r="I24" s="15" t="inlineStr">
        <is>
          <t>Rejected with a message; no employee saved</t>
        </is>
      </c>
      <c r="J24" s="14" t="inlineStr">
        <is>
          <t>Yes</t>
        </is>
      </c>
      <c r="K24" s="15" t="inlineStr">
        <is>
          <t>EmployeeValidationTest (C15-C16)</t>
        </is>
      </c>
      <c r="L24" s="15" t="inlineStr">
        <is>
          <t>Not yet run on QA</t>
        </is>
      </c>
      <c r="M24" s="14" t="inlineStr">
        <is>
          <t>Not executed</t>
        </is>
      </c>
      <c r="N24" s="15" t="inlineStr"/>
    </row>
    <row r="25" ht="105" customHeight="1">
      <c r="A25" s="9" t="inlineStr">
        <is>
          <t>TC-21</t>
        </is>
      </c>
      <c r="B25" s="13" t="inlineStr">
        <is>
          <t>Bulk Upload</t>
        </is>
      </c>
      <c r="C25" s="13" t="inlineStr">
        <is>
          <t>Bulk upload from the portal template: 3 valid + 2 invalid rows</t>
        </is>
      </c>
      <c r="D25" s="9" t="inlineStr">
        <is>
          <t>Positive / Negative</t>
        </is>
      </c>
      <c r="E25" s="9" t="inlineStr">
        <is>
          <t>P1</t>
        </is>
      </c>
      <c r="F25" s="13" t="inlineStr">
        <is>
          <t>Employer admin logged in</t>
        </is>
      </c>
      <c r="G25" s="13" t="inlineStr">
        <is>
          <t>CSV built from the downloaded template: rows 1-3 valid; row 4 invalid email; row 5 invalid PPSN</t>
        </is>
      </c>
      <c r="H25" s="13" t="inlineStr">
        <is>
          <t>1. Employees &gt; Bulk upload
2. Download the CSV template
3. Fill 5 rows in the template's column order
4. Upload the file
5. Read the summary and open the employee list</t>
        </is>
      </c>
      <c r="I25" s="13" t="inlineStr">
        <is>
          <t>Summary shows 3 added and 2 rejected with a reason per rejected row; valid employees listed; invalid ones not listed</t>
        </is>
      </c>
      <c r="J25" s="9" t="inlineStr">
        <is>
          <t>Yes</t>
        </is>
      </c>
      <c r="K25" s="13" t="inlineStr">
        <is>
          <t>EmployerPortalJourneyTest.bulkUploadThreeValidTwoInvalid</t>
        </is>
      </c>
      <c r="L25" s="13" t="inlineStr">
        <is>
          <t>Not yet run on QA</t>
        </is>
      </c>
      <c r="M25" s="9" t="inlineStr">
        <is>
          <t>Not executed</t>
        </is>
      </c>
      <c r="N25" s="13" t="inlineStr"/>
    </row>
    <row r="26" ht="105" customHeight="1">
      <c r="A26" s="14" t="inlineStr">
        <is>
          <t>TC-22</t>
        </is>
      </c>
      <c r="B26" s="15" t="inlineStr">
        <is>
          <t>Bulk Upload</t>
        </is>
      </c>
      <c r="C26" s="15" t="inlineStr">
        <is>
          <t>Bulk upload of a non-CSV file, or a template with headers only</t>
        </is>
      </c>
      <c r="D26" s="14" t="inlineStr">
        <is>
          <t>Negative</t>
        </is>
      </c>
      <c r="E26" s="14" t="inlineStr">
        <is>
          <t>P2</t>
        </is>
      </c>
      <c r="F26" s="15" t="inlineStr">
        <is>
          <t>Employer admin logged in</t>
        </is>
      </c>
      <c r="G26" s="15" t="inlineStr">
        <is>
          <t>A .pdf file; a header-only CSV</t>
        </is>
      </c>
      <c r="H26" s="15" t="inlineStr">
        <is>
          <t>1. Open Bulk upload
2. Upload the file</t>
        </is>
      </c>
      <c r="I26" s="15" t="inlineStr">
        <is>
          <t>Clear error; nothing imported</t>
        </is>
      </c>
      <c r="J26" s="14" t="inlineStr">
        <is>
          <t>No</t>
        </is>
      </c>
      <c r="K26" s="15" t="inlineStr">
        <is>
          <t>Manual / next automation candidate</t>
        </is>
      </c>
      <c r="L26" s="15" t="inlineStr">
        <is>
          <t>Not yet run on QA</t>
        </is>
      </c>
      <c r="M26" s="14" t="inlineStr">
        <is>
          <t>Not executed</t>
        </is>
      </c>
      <c r="N26" s="15" t="inlineStr"/>
    </row>
    <row r="27" ht="105" customHeight="1">
      <c r="A27" s="9" t="inlineStr">
        <is>
          <t>TC-23</t>
        </is>
      </c>
      <c r="B27" s="13" t="inlineStr">
        <is>
          <t>Authentication</t>
        </is>
      </c>
      <c r="C27" s="13" t="inlineStr">
        <is>
          <t>Logout ends the session</t>
        </is>
      </c>
      <c r="D27" s="9" t="inlineStr">
        <is>
          <t>Positive</t>
        </is>
      </c>
      <c r="E27" s="9" t="inlineStr">
        <is>
          <t>P1</t>
        </is>
      </c>
      <c r="F27" s="13" t="inlineStr">
        <is>
          <t>Employer admin logged in</t>
        </is>
      </c>
      <c r="G27" s="13" t="inlineStr">
        <is>
          <t>Dashboard URL saved before logout</t>
        </is>
      </c>
      <c r="H27" s="13" t="inlineStr">
        <is>
          <t>1. Log out
2. Open the saved dashboard URL</t>
        </is>
      </c>
      <c r="I27" s="13" t="inlineStr">
        <is>
          <t>Login page is shown at logout and again when the dashboard URL is opened</t>
        </is>
      </c>
      <c r="J27" s="9" t="inlineStr">
        <is>
          <t>Yes</t>
        </is>
      </c>
      <c r="K27" s="13" t="inlineStr">
        <is>
          <t>EmployerPortalJourneyTest.employerAdminLogsOut</t>
        </is>
      </c>
      <c r="L27" s="13" t="inlineStr">
        <is>
          <t>Not yet run on QA</t>
        </is>
      </c>
      <c r="M27" s="9" t="inlineStr">
        <is>
          <t>Not executed</t>
        </is>
      </c>
      <c r="N27" s="13" t="inlineStr"/>
    </row>
    <row r="28" ht="105" customHeight="1">
      <c r="A28" s="14" t="inlineStr">
        <is>
          <t>TC-24</t>
        </is>
      </c>
      <c r="B28" s="15" t="inlineStr">
        <is>
          <t>API</t>
        </is>
      </c>
      <c r="C28" s="15" t="inlineStr">
        <is>
          <t>Token, 401 without token, create 201 + schema, read back, bad PPSN 400, UI/API cross-check</t>
        </is>
      </c>
      <c r="D28" s="14" t="inlineStr">
        <is>
          <t>Positive / Negative</t>
        </is>
      </c>
      <c r="E28" s="14" t="inlineStr">
        <is>
          <t>P1</t>
        </is>
      </c>
      <c r="F28" s="15" t="inlineStr">
        <is>
          <t>API base URL, endpoint paths and API login set</t>
        </is>
      </c>
      <c r="G28" s="15" t="inlineStr">
        <is>
          <t>Generated employee; PPSN 12345AB for the negative case</t>
        </is>
      </c>
      <c r="H28" s="15" t="inlineStr">
        <is>
          <t>See the 'API Tests' sheet (D1-D6)</t>
        </is>
      </c>
      <c r="I28" s="15" t="inlineStr">
        <is>
          <t>See the 'API Tests' sheet</t>
        </is>
      </c>
      <c r="J28" s="14" t="inlineStr">
        <is>
          <t>Yes</t>
        </is>
      </c>
      <c r="K28" s="15" t="inlineStr">
        <is>
          <t>EmployeeApiTest (D1-D6)</t>
        </is>
      </c>
      <c r="L28" s="15" t="inlineStr">
        <is>
          <t>Not yet run on QA</t>
        </is>
      </c>
      <c r="M28" s="14" t="inlineStr">
        <is>
          <t>Not executed</t>
        </is>
      </c>
      <c r="N28" s="15" t="inlineStr"/>
    </row>
  </sheetData>
  <autoFilter ref="A4:N28"/>
  <conditionalFormatting sqref="M5:M28">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M5:M28" showDropDown="0" showInputMessage="0" showErrorMessage="0" allowBlank="0" type="list">
      <formula1>"Not executed,Pass,Fail,Blocked,Skipped"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46" customWidth="1" min="2" max="2"/>
    <col width="56" customWidth="1" min="3" max="3"/>
    <col width="11" customWidth="1" min="4" max="4"/>
    <col width="46" customWidth="1" min="5" max="5"/>
    <col width="10" customWidth="1" min="6" max="6"/>
    <col width="14" customWidth="1" min="7" max="7"/>
  </cols>
  <sheetData>
    <row r="1">
      <c r="A1" s="1" t="inlineStr">
        <is>
          <t>Part C - Data-driven scenarios (one test, 16 data rows)</t>
        </is>
      </c>
    </row>
    <row r="2">
      <c r="A2" s="11" t="inlineStr">
        <is>
          <t>Source: src/test/resources/testdata/employee-validation-scenarios.json. Every scenario starts from a valid employee and breaks exactly one rule.</t>
        </is>
      </c>
    </row>
    <row r="4" ht="30" customHeight="1">
      <c r="A4" s="12" t="inlineStr">
        <is>
          <t>Scenario ID</t>
        </is>
      </c>
      <c r="B4" s="12" t="inlineStr">
        <is>
          <t>Description</t>
        </is>
      </c>
      <c r="C4" s="12" t="inlineStr">
        <is>
          <t>Field(s) changed</t>
        </is>
      </c>
      <c r="D4" s="12" t="inlineStr">
        <is>
          <t>Type</t>
        </is>
      </c>
      <c r="E4" s="12" t="inlineStr">
        <is>
          <t>Expected result</t>
        </is>
      </c>
      <c r="F4" s="12" t="inlineStr">
        <is>
          <t>Maps to</t>
        </is>
      </c>
      <c r="G4" s="12" t="inlineStr">
        <is>
          <t>Status</t>
        </is>
      </c>
    </row>
    <row r="5">
      <c r="A5" s="9" t="inlineStr">
        <is>
          <t>C01</t>
        </is>
      </c>
      <c r="B5" s="13" t="inlineStr">
        <is>
          <t>All mandatory fields left empty</t>
        </is>
      </c>
      <c r="C5" s="13" t="inlineStr">
        <is>
          <t>firstName = (empty); lastName = (empty); email = (empty); mobileNumber = (empty); dateOfBirth = (empty); ppsn = (empty); startDate = (empty)</t>
        </is>
      </c>
      <c r="D5" s="9" t="inlineStr">
        <is>
          <t>Negative</t>
        </is>
      </c>
      <c r="E5" s="13" t="inlineStr">
        <is>
          <t>Validation message is shown, the form stays open and the employee is not saved</t>
        </is>
      </c>
      <c r="F5" s="9" t="inlineStr">
        <is>
          <t>TC-15</t>
        </is>
      </c>
      <c r="G5" s="9" t="inlineStr">
        <is>
          <t>Not executed</t>
        </is>
      </c>
    </row>
    <row r="6">
      <c r="A6" s="14" t="inlineStr">
        <is>
          <t>C02</t>
        </is>
      </c>
      <c r="B6" s="15" t="inlineStr">
        <is>
          <t>Email left empty</t>
        </is>
      </c>
      <c r="C6" s="15" t="inlineStr">
        <is>
          <t>email = (empty)</t>
        </is>
      </c>
      <c r="D6" s="14" t="inlineStr">
        <is>
          <t>Negative</t>
        </is>
      </c>
      <c r="E6" s="15" t="inlineStr">
        <is>
          <t>Validation message is shown, the form stays open and the employee is not saved</t>
        </is>
      </c>
      <c r="F6" s="14" t="inlineStr">
        <is>
          <t>TC-15</t>
        </is>
      </c>
      <c r="G6" s="14" t="inlineStr">
        <is>
          <t>Not executed</t>
        </is>
      </c>
    </row>
    <row r="7">
      <c r="A7" s="9" t="inlineStr">
        <is>
          <t>C03</t>
        </is>
      </c>
      <c r="B7" s="13" t="inlineStr">
        <is>
          <t>PPSN left empty</t>
        </is>
      </c>
      <c r="C7" s="13" t="inlineStr">
        <is>
          <t>ppsn = (empty)</t>
        </is>
      </c>
      <c r="D7" s="9" t="inlineStr">
        <is>
          <t>Negative</t>
        </is>
      </c>
      <c r="E7" s="13" t="inlineStr">
        <is>
          <t>Validation message is shown, the form stays open and the employee is not saved</t>
        </is>
      </c>
      <c r="F7" s="9" t="inlineStr">
        <is>
          <t>TC-15</t>
        </is>
      </c>
      <c r="G7" s="9" t="inlineStr">
        <is>
          <t>Not executed</t>
        </is>
      </c>
    </row>
    <row r="8">
      <c r="A8" s="14" t="inlineStr">
        <is>
          <t>C04</t>
        </is>
      </c>
      <c r="B8" s="15" t="inlineStr">
        <is>
          <t>Invalid email - missing @ and domain</t>
        </is>
      </c>
      <c r="C8" s="15" t="inlineStr">
        <is>
          <t>email = qa-auto-invalid-email</t>
        </is>
      </c>
      <c r="D8" s="14" t="inlineStr">
        <is>
          <t>Negative</t>
        </is>
      </c>
      <c r="E8" s="15" t="inlineStr">
        <is>
          <t>Validation message is shown, the form stays open and the employee is not saved</t>
        </is>
      </c>
      <c r="F8" s="14" t="inlineStr">
        <is>
          <t>TC-16</t>
        </is>
      </c>
      <c r="G8" s="14" t="inlineStr">
        <is>
          <t>Not executed</t>
        </is>
      </c>
    </row>
    <row r="9">
      <c r="A9" s="9" t="inlineStr">
        <is>
          <t>C05</t>
        </is>
      </c>
      <c r="B9" s="13" t="inlineStr">
        <is>
          <t>Invalid email - missing domain after @</t>
        </is>
      </c>
      <c r="C9" s="13" t="inlineStr">
        <is>
          <t>email = qa-auto-user@</t>
        </is>
      </c>
      <c r="D9" s="9" t="inlineStr">
        <is>
          <t>Negative</t>
        </is>
      </c>
      <c r="E9" s="13" t="inlineStr">
        <is>
          <t>Validation message is shown, the form stays open and the employee is not saved</t>
        </is>
      </c>
      <c r="F9" s="9" t="inlineStr">
        <is>
          <t>TC-16</t>
        </is>
      </c>
      <c r="G9" s="9" t="inlineStr">
        <is>
          <t>Not executed</t>
        </is>
      </c>
    </row>
    <row r="10">
      <c r="A10" s="14" t="inlineStr">
        <is>
          <t>C06</t>
        </is>
      </c>
      <c r="B10" s="15" t="inlineStr">
        <is>
          <t>Invalid email - missing local part</t>
        </is>
      </c>
      <c r="C10" s="15" t="inlineStr">
        <is>
          <t>email = @example.com</t>
        </is>
      </c>
      <c r="D10" s="14" t="inlineStr">
        <is>
          <t>Negative</t>
        </is>
      </c>
      <c r="E10" s="15" t="inlineStr">
        <is>
          <t>Validation message is shown, the form stays open and the employee is not saved</t>
        </is>
      </c>
      <c r="F10" s="14" t="inlineStr">
        <is>
          <t>TC-16</t>
        </is>
      </c>
      <c r="G10" s="14" t="inlineStr">
        <is>
          <t>Not executed</t>
        </is>
      </c>
    </row>
    <row r="11">
      <c r="A11" s="9" t="inlineStr">
        <is>
          <t>C07</t>
        </is>
      </c>
      <c r="B11" s="13" t="inlineStr">
        <is>
          <t>Invalid PPSN - only 6 digits</t>
        </is>
      </c>
      <c r="C11" s="13" t="inlineStr">
        <is>
          <t>ppsn = 123456T</t>
        </is>
      </c>
      <c r="D11" s="9" t="inlineStr">
        <is>
          <t>Negative</t>
        </is>
      </c>
      <c r="E11" s="13" t="inlineStr">
        <is>
          <t>Validation message is shown, the form stays open and the employee is not saved</t>
        </is>
      </c>
      <c r="F11" s="9" t="inlineStr">
        <is>
          <t>TC-17</t>
        </is>
      </c>
      <c r="G11" s="9" t="inlineStr">
        <is>
          <t>Not executed</t>
        </is>
      </c>
    </row>
    <row r="12">
      <c r="A12" s="14" t="inlineStr">
        <is>
          <t>C08</t>
        </is>
      </c>
      <c r="B12" s="15" t="inlineStr">
        <is>
          <t>Invalid PPSN - digits only, no letter</t>
        </is>
      </c>
      <c r="C12" s="15" t="inlineStr">
        <is>
          <t>ppsn = 1234567</t>
        </is>
      </c>
      <c r="D12" s="14" t="inlineStr">
        <is>
          <t>Negative</t>
        </is>
      </c>
      <c r="E12" s="15" t="inlineStr">
        <is>
          <t>Validation message is shown, the form stays open and the employee is not saved</t>
        </is>
      </c>
      <c r="F12" s="14" t="inlineStr">
        <is>
          <t>TC-17</t>
        </is>
      </c>
      <c r="G12" s="14" t="inlineStr">
        <is>
          <t>Not executed</t>
        </is>
      </c>
    </row>
    <row r="13">
      <c r="A13" s="9" t="inlineStr">
        <is>
          <t>C09</t>
        </is>
      </c>
      <c r="B13" s="13" t="inlineStr">
        <is>
          <t>Invalid PPSN - three letters</t>
        </is>
      </c>
      <c r="C13" s="13" t="inlineStr">
        <is>
          <t>ppsn = 1234567TAB</t>
        </is>
      </c>
      <c r="D13" s="9" t="inlineStr">
        <is>
          <t>Negative</t>
        </is>
      </c>
      <c r="E13" s="13" t="inlineStr">
        <is>
          <t>Validation message is shown, the form stays open and the employee is not saved</t>
        </is>
      </c>
      <c r="F13" s="9" t="inlineStr">
        <is>
          <t>TC-17</t>
        </is>
      </c>
      <c r="G13" s="9" t="inlineStr">
        <is>
          <t>Not executed</t>
        </is>
      </c>
    </row>
    <row r="14">
      <c r="A14" s="14" t="inlineStr">
        <is>
          <t>C10</t>
        </is>
      </c>
      <c r="B14" s="15" t="inlineStr">
        <is>
          <t>Invalid PPSN - letters before digits</t>
        </is>
      </c>
      <c r="C14" s="15" t="inlineStr">
        <is>
          <t>ppsn = T1234567</t>
        </is>
      </c>
      <c r="D14" s="14" t="inlineStr">
        <is>
          <t>Negative</t>
        </is>
      </c>
      <c r="E14" s="15" t="inlineStr">
        <is>
          <t>Validation message is shown, the form stays open and the employee is not saved</t>
        </is>
      </c>
      <c r="F14" s="14" t="inlineStr">
        <is>
          <t>TC-17</t>
        </is>
      </c>
      <c r="G14" s="14" t="inlineStr">
        <is>
          <t>Not executed</t>
        </is>
      </c>
    </row>
    <row r="15">
      <c r="A15" s="9" t="inlineStr">
        <is>
          <t>C11</t>
        </is>
      </c>
      <c r="B15" s="13" t="inlineStr">
        <is>
          <t>Invalid mobile - too short</t>
        </is>
      </c>
      <c r="C15" s="13" t="inlineStr">
        <is>
          <t>mobileNumber = 08712</t>
        </is>
      </c>
      <c r="D15" s="9" t="inlineStr">
        <is>
          <t>Negative</t>
        </is>
      </c>
      <c r="E15" s="13" t="inlineStr">
        <is>
          <t>Validation message is shown, the form stays open and the employee is not saved</t>
        </is>
      </c>
      <c r="F15" s="9" t="inlineStr">
        <is>
          <t>TC-18</t>
        </is>
      </c>
      <c r="G15" s="9" t="inlineStr">
        <is>
          <t>Not executed</t>
        </is>
      </c>
    </row>
    <row r="16">
      <c r="A16" s="14" t="inlineStr">
        <is>
          <t>C12</t>
        </is>
      </c>
      <c r="B16" s="15" t="inlineStr">
        <is>
          <t>Invalid mobile - contains letters</t>
        </is>
      </c>
      <c r="C16" s="15" t="inlineStr">
        <is>
          <t>mobileNumber = +35387ABCDEFG</t>
        </is>
      </c>
      <c r="D16" s="14" t="inlineStr">
        <is>
          <t>Negative</t>
        </is>
      </c>
      <c r="E16" s="15" t="inlineStr">
        <is>
          <t>Validation message is shown, the form stays open and the employee is not saved</t>
        </is>
      </c>
      <c r="F16" s="14" t="inlineStr">
        <is>
          <t>TC-18</t>
        </is>
      </c>
      <c r="G16" s="14" t="inlineStr">
        <is>
          <t>Not executed</t>
        </is>
      </c>
    </row>
    <row r="17">
      <c r="A17" s="9" t="inlineStr">
        <is>
          <t>C13</t>
        </is>
      </c>
      <c r="B17" s="13" t="inlineStr">
        <is>
          <t>Duplicate employee - same PPSN as an existing employee</t>
        </is>
      </c>
      <c r="C17" s="13" t="inlineStr">
        <is>
          <t>ppsn = {{seed.ppsn}}</t>
        </is>
      </c>
      <c r="D17" s="9" t="inlineStr">
        <is>
          <t>Negative</t>
        </is>
      </c>
      <c r="E17" s="13" t="inlineStr">
        <is>
          <t>Validation message is shown, the form stays open and the employee is not saved</t>
        </is>
      </c>
      <c r="F17" s="9" t="inlineStr">
        <is>
          <t>TC-19</t>
        </is>
      </c>
      <c r="G17" s="9" t="inlineStr">
        <is>
          <t>Not executed</t>
        </is>
      </c>
    </row>
    <row r="18">
      <c r="A18" s="14" t="inlineStr">
        <is>
          <t>C14</t>
        </is>
      </c>
      <c r="B18" s="15" t="inlineStr">
        <is>
          <t>Duplicate employee - same email as an existing employee</t>
        </is>
      </c>
      <c r="C18" s="15" t="inlineStr">
        <is>
          <t>email = {{seed.email}}</t>
        </is>
      </c>
      <c r="D18" s="14" t="inlineStr">
        <is>
          <t>Negative</t>
        </is>
      </c>
      <c r="E18" s="15" t="inlineStr">
        <is>
          <t>Validation message is shown, the form stays open and the employee is not saved</t>
        </is>
      </c>
      <c r="F18" s="14" t="inlineStr">
        <is>
          <t>TC-19</t>
        </is>
      </c>
      <c r="G18" s="14" t="inlineStr">
        <is>
          <t>Not executed</t>
        </is>
      </c>
    </row>
    <row r="19">
      <c r="A19" s="9" t="inlineStr">
        <is>
          <t>C15</t>
        </is>
      </c>
      <c r="B19" s="13" t="inlineStr">
        <is>
          <t>Under 18 - employee aged 16</t>
        </is>
      </c>
      <c r="C19" s="13" t="inlineStr">
        <is>
          <t>dateOfBirth = {{dob.age:16}}</t>
        </is>
      </c>
      <c r="D19" s="9" t="inlineStr">
        <is>
          <t>Negative</t>
        </is>
      </c>
      <c r="E19" s="13" t="inlineStr">
        <is>
          <t>Validation message is shown, the form stays open and the employee is not saved</t>
        </is>
      </c>
      <c r="F19" s="9" t="inlineStr">
        <is>
          <t>TC-20</t>
        </is>
      </c>
      <c r="G19" s="9" t="inlineStr">
        <is>
          <t>Not executed</t>
        </is>
      </c>
    </row>
    <row r="20">
      <c r="A20" s="14" t="inlineStr">
        <is>
          <t>C16</t>
        </is>
      </c>
      <c r="B20" s="15" t="inlineStr">
        <is>
          <t>Under 18 boundary - turns 18 tomorrow</t>
        </is>
      </c>
      <c r="C20" s="15" t="inlineStr">
        <is>
          <t>dateOfBirth = {{dob.days.until.18:1}}</t>
        </is>
      </c>
      <c r="D20" s="14" t="inlineStr">
        <is>
          <t>Edge</t>
        </is>
      </c>
      <c r="E20" s="15" t="inlineStr">
        <is>
          <t>Validation message is shown, the form stays open and the employee is not saved</t>
        </is>
      </c>
      <c r="F20" s="14" t="inlineStr">
        <is>
          <t>TC-20</t>
        </is>
      </c>
      <c r="G20" s="14" t="inlineStr">
        <is>
          <t>Not executed</t>
        </is>
      </c>
    </row>
  </sheetData>
  <autoFilter ref="A4:G20"/>
  <conditionalFormatting sqref="G5:G20">
    <cfRule type="cellIs" priority="1" operator="equal" dxfId="0">
      <formula>"Pass"</formula>
    </cfRule>
    <cfRule type="cellIs" priority="2" operator="equal" dxfId="1">
      <formula>"Fail"</formula>
    </cfRule>
  </conditionalFormatting>
  <dataValidations count="1">
    <dataValidation sqref="G5:G20" showDropDown="0" showInputMessage="0" showErrorMessage="0" allowBlank="0" type="list">
      <formula1>"Not executed,Pass,Fail,Blocked,Skipped"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34" customWidth="1" min="2" max="2"/>
    <col width="30" customWidth="1" min="3" max="3"/>
    <col width="34" customWidth="1" min="4" max="4"/>
    <col width="12" customWidth="1" min="5" max="5"/>
    <col width="54" customWidth="1" min="6" max="6"/>
    <col width="40" customWidth="1" min="7" max="7"/>
    <col width="14" customWidth="1" min="8" max="8"/>
  </cols>
  <sheetData>
    <row r="1">
      <c r="A1" s="1" t="inlineStr">
        <is>
          <t>Part D - API tests (REST Assured)</t>
        </is>
      </c>
    </row>
    <row r="2">
      <c r="A2" s="11" t="inlineStr">
        <is>
          <t>Endpoint paths come from environments/qa.properties (api.auth.endpoint, api.employees.endpoint); align them with the provided Swagger.</t>
        </is>
      </c>
    </row>
    <row r="4" ht="30" customHeight="1">
      <c r="A4" s="12" t="inlineStr">
        <is>
          <t>ID</t>
        </is>
      </c>
      <c r="B4" s="12" t="inlineStr">
        <is>
          <t>Check</t>
        </is>
      </c>
      <c r="C4" s="12" t="inlineStr">
        <is>
          <t>Method and endpoint</t>
        </is>
      </c>
      <c r="D4" s="12" t="inlineStr">
        <is>
          <t>Request</t>
        </is>
      </c>
      <c r="E4" s="12" t="inlineStr">
        <is>
          <t>Expected status</t>
        </is>
      </c>
      <c r="F4" s="12" t="inlineStr">
        <is>
          <t>Assertions</t>
        </is>
      </c>
      <c r="G4" s="12" t="inlineStr">
        <is>
          <t>Automated test</t>
        </is>
      </c>
      <c r="H4" s="12" t="inlineStr">
        <is>
          <t>Status</t>
        </is>
      </c>
    </row>
    <row r="5" ht="48" customHeight="1">
      <c r="A5" s="9" t="inlineStr">
        <is>
          <t>D1</t>
        </is>
      </c>
      <c r="B5" s="13" t="inlineStr">
        <is>
          <t>Get an authentication token</t>
        </is>
      </c>
      <c r="C5" s="13" t="inlineStr">
        <is>
          <t>POST api.auth.endpoint</t>
        </is>
      </c>
      <c r="D5" s="13" t="inlineStr">
        <is>
          <t>JSON body with the documented username and password</t>
        </is>
      </c>
      <c r="E5" s="9" t="inlineStr">
        <is>
          <t>200</t>
        </is>
      </c>
      <c r="F5" s="13" t="inlineStr">
        <is>
          <t>Token field is present and not empty</t>
        </is>
      </c>
      <c r="G5" s="13" t="inlineStr">
        <is>
          <t>EmployeeApiTest.authReturnsToken</t>
        </is>
      </c>
      <c r="H5" s="9" t="inlineStr">
        <is>
          <t>Not executed</t>
        </is>
      </c>
    </row>
    <row r="6" ht="48" customHeight="1">
      <c r="A6" s="14" t="inlineStr">
        <is>
          <t>D2</t>
        </is>
      </c>
      <c r="B6" s="15" t="inlineStr">
        <is>
          <t>Request without a token is refused</t>
        </is>
      </c>
      <c r="C6" s="15" t="inlineStr">
        <is>
          <t>POST api.employees.endpoint</t>
        </is>
      </c>
      <c r="D6" s="15" t="inlineStr">
        <is>
          <t>Valid employee JSON, no Authorization header</t>
        </is>
      </c>
      <c r="E6" s="14" t="inlineStr">
        <is>
          <t>401</t>
        </is>
      </c>
      <c r="F6" s="15" t="inlineStr">
        <is>
          <t>Status is exactly 401</t>
        </is>
      </c>
      <c r="G6" s="15" t="inlineStr">
        <is>
          <t>EmployeeApiTest.requestWithoutTokenReturns401</t>
        </is>
      </c>
      <c r="H6" s="14" t="inlineStr">
        <is>
          <t>Not executed</t>
        </is>
      </c>
    </row>
    <row r="7" ht="48" customHeight="1">
      <c r="A7" s="9" t="inlineStr">
        <is>
          <t>D3</t>
        </is>
      </c>
      <c r="B7" s="13" t="inlineStr">
        <is>
          <t>Create an employee</t>
        </is>
      </c>
      <c r="C7" s="13" t="inlineStr">
        <is>
          <t>POST api.employees.endpoint</t>
        </is>
      </c>
      <c r="D7" s="13" t="inlineStr">
        <is>
          <t>Generated employee JSON with Bearer token</t>
        </is>
      </c>
      <c r="E7" s="9" t="inlineStr">
        <is>
          <t>201</t>
        </is>
      </c>
      <c r="F7" s="13" t="inlineStr">
        <is>
          <t>Status is exactly 201; response matches schemas/employee-response.schema.json; an id is returned</t>
        </is>
      </c>
      <c r="G7" s="13" t="inlineStr">
        <is>
          <t>EmployeeApiTest.createEmployeeReturns201AndMatchesSchema</t>
        </is>
      </c>
      <c r="H7" s="9" t="inlineStr">
        <is>
          <t>Not executed</t>
        </is>
      </c>
    </row>
    <row r="8" ht="48" customHeight="1">
      <c r="A8" s="14" t="inlineStr">
        <is>
          <t>D4</t>
        </is>
      </c>
      <c r="B8" s="15" t="inlineStr">
        <is>
          <t>Read the employee back</t>
        </is>
      </c>
      <c r="C8" s="15" t="inlineStr">
        <is>
          <t>GET api.employees.endpoint/{id}</t>
        </is>
      </c>
      <c r="D8" s="15" t="inlineStr">
        <is>
          <t>Bearer token, id from D3</t>
        </is>
      </c>
      <c r="E8" s="14" t="inlineStr">
        <is>
          <t>200</t>
        </is>
      </c>
      <c r="F8" s="15" t="inlineStr">
        <is>
          <t>Schema matches; every field sent in D3 has the same value in the response</t>
        </is>
      </c>
      <c r="G8" s="15" t="inlineStr">
        <is>
          <t>EmployeeApiTest.getEmployeeMatchesSubmittedData</t>
        </is>
      </c>
      <c r="H8" s="14" t="inlineStr">
        <is>
          <t>Not executed</t>
        </is>
      </c>
    </row>
    <row r="9" ht="48" customHeight="1">
      <c r="A9" s="9" t="inlineStr">
        <is>
          <t>D5</t>
        </is>
      </c>
      <c r="B9" s="13" t="inlineStr">
        <is>
          <t>Bad PPSN is rejected</t>
        </is>
      </c>
      <c r="C9" s="13" t="inlineStr">
        <is>
          <t>POST api.employees.endpoint</t>
        </is>
      </c>
      <c r="D9" s="13" t="inlineStr">
        <is>
          <t>Employee with PPSN 12345AB</t>
        </is>
      </c>
      <c r="E9" s="9" t="inlineStr">
        <is>
          <t>400</t>
        </is>
      </c>
      <c r="F9" s="13" t="inlineStr">
        <is>
          <t>Status is exactly 400; the error message mentions the PPSN</t>
        </is>
      </c>
      <c r="G9" s="13" t="inlineStr">
        <is>
          <t>EmployeeApiTest.createEmployeeWithInvalidPpsnReturns400</t>
        </is>
      </c>
      <c r="H9" s="9" t="inlineStr">
        <is>
          <t>Not executed</t>
        </is>
      </c>
    </row>
    <row r="10" ht="48" customHeight="1">
      <c r="A10" s="14" t="inlineStr">
        <is>
          <t>D6</t>
        </is>
      </c>
      <c r="B10" s="15" t="inlineStr">
        <is>
          <t>UI and API cross-check</t>
        </is>
      </c>
      <c r="C10" s="15" t="inlineStr">
        <is>
          <t>POST api.employees.endpoint, then Employer portal</t>
        </is>
      </c>
      <c r="D10" s="15" t="inlineStr">
        <is>
          <t>Generated employee created through the API</t>
        </is>
      </c>
      <c r="E10" s="14" t="inlineStr">
        <is>
          <t>201</t>
        </is>
      </c>
      <c r="F10" s="15" t="inlineStr">
        <is>
          <t>Employee is listed in the Employer portal employee list (found by email)</t>
        </is>
      </c>
      <c r="G10" s="15" t="inlineStr">
        <is>
          <t>EmployeeApiTest.apiCreatedEmployeeIsVisibleInEmployerPortal</t>
        </is>
      </c>
      <c r="H10" s="14" t="inlineStr">
        <is>
          <t>Not executed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6"/>
  <sheetViews>
    <sheetView workbookViewId="0">
      <pane ySplit="3" topLeftCell="A4" activePane="bottomLeft" state="frozen"/>
      <selection pane="bottomLeft" activeCell="A1" sqref="A1"/>
    </sheetView>
  </sheetViews>
  <sheetFormatPr baseColWidth="8" defaultRowHeight="15"/>
  <cols>
    <col width="14" customWidth="1" min="1" max="1"/>
    <col width="62" customWidth="1" min="2" max="2"/>
    <col width="16" customWidth="1" min="3" max="3"/>
    <col width="52" customWidth="1" min="4" max="4"/>
    <col width="10" customWidth="1" min="5" max="5"/>
  </cols>
  <sheetData>
    <row r="1">
      <c r="A1" s="1" t="inlineStr">
        <is>
          <t>Traceability - assignment requirement to test cases</t>
        </is>
      </c>
    </row>
    <row r="3" ht="30" customHeight="1">
      <c r="A3" s="12" t="inlineStr">
        <is>
          <t>Assignment ref</t>
        </is>
      </c>
      <c r="B3" s="12" t="inlineStr">
        <is>
          <t>Requirement</t>
        </is>
      </c>
      <c r="C3" s="12" t="inlineStr">
        <is>
          <t>Test case(s)</t>
        </is>
      </c>
      <c r="D3" s="12" t="inlineStr">
        <is>
          <t>Automated test</t>
        </is>
      </c>
      <c r="E3" s="12" t="inlineStr">
        <is>
          <t>Covered</t>
        </is>
      </c>
    </row>
    <row r="4">
      <c r="A4" s="9" t="inlineStr">
        <is>
          <t>Part B.1</t>
        </is>
      </c>
      <c r="B4" s="13" t="inlineStr">
        <is>
          <t>Log in to the Admin portal</t>
        </is>
      </c>
      <c r="C4" s="13" t="inlineStr">
        <is>
          <t>TC-01</t>
        </is>
      </c>
      <c r="D4" s="13" t="inlineStr">
        <is>
          <t>AdminPortalJourneyTest.adminLogsIn</t>
        </is>
      </c>
      <c r="E4" s="9" t="inlineStr">
        <is>
          <t>Yes</t>
        </is>
      </c>
    </row>
    <row r="5">
      <c r="A5" s="14" t="inlineStr">
        <is>
          <t>Part B.2</t>
        </is>
      </c>
      <c r="B5" s="15" t="inlineStr">
        <is>
          <t>Create an employer with unique data (name, CRN, address, payroll date, bank details)</t>
        </is>
      </c>
      <c r="C5" s="15" t="inlineStr">
        <is>
          <t>TC-03</t>
        </is>
      </c>
      <c r="D5" s="15" t="inlineStr">
        <is>
          <t>AdminPortalJourneyTest.adminCreatesEmployer</t>
        </is>
      </c>
      <c r="E5" s="14" t="inlineStr">
        <is>
          <t>Yes</t>
        </is>
      </c>
    </row>
    <row r="6">
      <c r="A6" s="9" t="inlineStr">
        <is>
          <t>Part B.3</t>
        </is>
      </c>
      <c r="B6" s="13" t="inlineStr">
        <is>
          <t>Add an employer admin to that employer</t>
        </is>
      </c>
      <c r="C6" s="13" t="inlineStr">
        <is>
          <t>TC-07</t>
        </is>
      </c>
      <c r="D6" s="13" t="inlineStr">
        <is>
          <t>AdminPortalJourneyTest.adminAddsEmployerAdmin</t>
        </is>
      </c>
      <c r="E6" s="9" t="inlineStr">
        <is>
          <t>Yes</t>
        </is>
      </c>
    </row>
    <row r="7">
      <c r="A7" s="14" t="inlineStr">
        <is>
          <t>Part B.4</t>
        </is>
      </c>
      <c r="B7" s="15" t="inlineStr">
        <is>
          <t>Log in to the Employer portal as that admin (invite, code, password)</t>
        </is>
      </c>
      <c r="C7" s="15" t="inlineStr">
        <is>
          <t>TC-09, TC-10, TC-12</t>
        </is>
      </c>
      <c r="D7" s="15" t="inlineStr">
        <is>
          <t>EmployerPortalJourneyTest.employerAdminActivatesAccountFromInvite / employerAdminLogsIn</t>
        </is>
      </c>
      <c r="E7" s="14" t="inlineStr">
        <is>
          <t>Yes</t>
        </is>
      </c>
    </row>
    <row r="8">
      <c r="A8" s="9" t="inlineStr">
        <is>
          <t>Part B.5</t>
        </is>
      </c>
      <c r="B8" s="13" t="inlineStr">
        <is>
          <t>Add one employee manually and verify they appear in the list</t>
        </is>
      </c>
      <c r="C8" s="13" t="inlineStr">
        <is>
          <t>TC-13</t>
        </is>
      </c>
      <c r="D8" s="13" t="inlineStr">
        <is>
          <t>EmployerPortalJourneyTest.addEmployeeManually</t>
        </is>
      </c>
      <c r="E8" s="9" t="inlineStr">
        <is>
          <t>Yes</t>
        </is>
      </c>
    </row>
    <row r="9">
      <c r="A9" s="14" t="inlineStr">
        <is>
          <t>Part B.6</t>
        </is>
      </c>
      <c r="B9" s="15" t="inlineStr">
        <is>
          <t>Bulk upload 5 employees (3 valid, 2 invalid); valid added, invalid rows show clear errors</t>
        </is>
      </c>
      <c r="C9" s="15" t="inlineStr">
        <is>
          <t>TC-21</t>
        </is>
      </c>
      <c r="D9" s="15" t="inlineStr">
        <is>
          <t>EmployerPortalJourneyTest.bulkUploadThreeValidTwoInvalid</t>
        </is>
      </c>
      <c r="E9" s="14" t="inlineStr">
        <is>
          <t>Yes</t>
        </is>
      </c>
    </row>
    <row r="10">
      <c r="A10" s="9" t="inlineStr">
        <is>
          <t>Part B.7</t>
        </is>
      </c>
      <c r="B10" s="13" t="inlineStr">
        <is>
          <t>Log out</t>
        </is>
      </c>
      <c r="C10" s="13" t="inlineStr">
        <is>
          <t>TC-23</t>
        </is>
      </c>
      <c r="D10" s="13" t="inlineStr">
        <is>
          <t>EmployerPortalJourneyTest.employerAdminLogsOut</t>
        </is>
      </c>
      <c r="E10" s="9" t="inlineStr">
        <is>
          <t>Yes</t>
        </is>
      </c>
    </row>
    <row r="11">
      <c r="A11" s="14" t="inlineStr">
        <is>
          <t>Step 4 (guide)</t>
        </is>
      </c>
      <c r="B11" s="15" t="inlineStr">
        <is>
          <t>Employee receives an introduction email</t>
        </is>
      </c>
      <c r="C11" s="15" t="inlineStr">
        <is>
          <t>TC-14</t>
        </is>
      </c>
      <c r="D11" s="15" t="inlineStr">
        <is>
          <t>EmployerPortalJourneyTest.employeeReceivesIntroductionEmail</t>
        </is>
      </c>
      <c r="E11" s="14" t="inlineStr">
        <is>
          <t>Yes</t>
        </is>
      </c>
    </row>
    <row r="12">
      <c r="A12" s="9" t="inlineStr">
        <is>
          <t>Part C</t>
        </is>
      </c>
      <c r="B12" s="13" t="inlineStr">
        <is>
          <t>Mandatory fields left empty</t>
        </is>
      </c>
      <c r="C12" s="13" t="inlineStr">
        <is>
          <t>TC-15</t>
        </is>
      </c>
      <c r="D12" s="13" t="inlineStr">
        <is>
          <t>EmployeeValidationTest (C01-C03)</t>
        </is>
      </c>
      <c r="E12" s="9" t="inlineStr">
        <is>
          <t>Yes</t>
        </is>
      </c>
    </row>
    <row r="13">
      <c r="A13" s="14" t="inlineStr">
        <is>
          <t>Part C</t>
        </is>
      </c>
      <c r="B13" s="15" t="inlineStr">
        <is>
          <t>Invalid email format</t>
        </is>
      </c>
      <c r="C13" s="15" t="inlineStr">
        <is>
          <t>TC-16</t>
        </is>
      </c>
      <c r="D13" s="15" t="inlineStr">
        <is>
          <t>EmployeeValidationTest (C04-C06)</t>
        </is>
      </c>
      <c r="E13" s="14" t="inlineStr">
        <is>
          <t>Yes</t>
        </is>
      </c>
    </row>
    <row r="14">
      <c r="A14" s="9" t="inlineStr">
        <is>
          <t>Part C</t>
        </is>
      </c>
      <c r="B14" s="13" t="inlineStr">
        <is>
          <t>Invalid Irish PPSN</t>
        </is>
      </c>
      <c r="C14" s="13" t="inlineStr">
        <is>
          <t>TC-17</t>
        </is>
      </c>
      <c r="D14" s="13" t="inlineStr">
        <is>
          <t>EmployeeValidationTest (C07-C10)</t>
        </is>
      </c>
      <c r="E14" s="9" t="inlineStr">
        <is>
          <t>Yes</t>
        </is>
      </c>
    </row>
    <row r="15">
      <c r="A15" s="14" t="inlineStr">
        <is>
          <t>Part C</t>
        </is>
      </c>
      <c r="B15" s="15" t="inlineStr">
        <is>
          <t>Invalid mobile number</t>
        </is>
      </c>
      <c r="C15" s="15" t="inlineStr">
        <is>
          <t>TC-18</t>
        </is>
      </c>
      <c r="D15" s="15" t="inlineStr">
        <is>
          <t>EmployeeValidationTest (C11-C12)</t>
        </is>
      </c>
      <c r="E15" s="14" t="inlineStr">
        <is>
          <t>Yes</t>
        </is>
      </c>
    </row>
    <row r="16">
      <c r="A16" s="9" t="inlineStr">
        <is>
          <t>Part C</t>
        </is>
      </c>
      <c r="B16" s="13" t="inlineStr">
        <is>
          <t>Duplicate employee (same PPSN or email)</t>
        </is>
      </c>
      <c r="C16" s="13" t="inlineStr">
        <is>
          <t>TC-19</t>
        </is>
      </c>
      <c r="D16" s="13" t="inlineStr">
        <is>
          <t>EmployeeValidationTest (C13-C14)</t>
        </is>
      </c>
      <c r="E16" s="9" t="inlineStr">
        <is>
          <t>Yes</t>
        </is>
      </c>
    </row>
    <row r="17">
      <c r="A17" s="14" t="inlineStr">
        <is>
          <t>Part C</t>
        </is>
      </c>
      <c r="B17" s="15" t="inlineStr">
        <is>
          <t>Date of birth that makes the employee under 18</t>
        </is>
      </c>
      <c r="C17" s="15" t="inlineStr">
        <is>
          <t>TC-20</t>
        </is>
      </c>
      <c r="D17" s="15" t="inlineStr">
        <is>
          <t>EmployeeValidationTest (C15-C16)</t>
        </is>
      </c>
      <c r="E17" s="14" t="inlineStr">
        <is>
          <t>Yes</t>
        </is>
      </c>
    </row>
    <row r="18">
      <c r="A18" s="9" t="inlineStr">
        <is>
          <t>Part D</t>
        </is>
      </c>
      <c r="B18" s="13" t="inlineStr">
        <is>
          <t>Auth: get a token</t>
        </is>
      </c>
      <c r="C18" s="13" t="inlineStr">
        <is>
          <t>TC-24 (D1)</t>
        </is>
      </c>
      <c r="D18" s="13" t="inlineStr">
        <is>
          <t>EmployeeApiTest.authReturnsToken</t>
        </is>
      </c>
      <c r="E18" s="9" t="inlineStr">
        <is>
          <t>Yes</t>
        </is>
      </c>
    </row>
    <row r="19">
      <c r="A19" s="14" t="inlineStr">
        <is>
          <t>Part D</t>
        </is>
      </c>
      <c r="B19" s="15" t="inlineStr">
        <is>
          <t>Auth: request without a token returns 401</t>
        </is>
      </c>
      <c r="C19" s="15" t="inlineStr">
        <is>
          <t>TC-24 (D2)</t>
        </is>
      </c>
      <c r="D19" s="15" t="inlineStr">
        <is>
          <t>EmployeeApiTest.requestWithoutTokenReturns401</t>
        </is>
      </c>
      <c r="E19" s="14" t="inlineStr">
        <is>
          <t>Yes</t>
        </is>
      </c>
    </row>
    <row r="20">
      <c r="A20" s="9" t="inlineStr">
        <is>
          <t>Part D</t>
        </is>
      </c>
      <c r="B20" s="13" t="inlineStr">
        <is>
          <t>Create employee: 201 and schema</t>
        </is>
      </c>
      <c r="C20" s="13" t="inlineStr">
        <is>
          <t>TC-24 (D3)</t>
        </is>
      </c>
      <c r="D20" s="13" t="inlineStr">
        <is>
          <t>EmployeeApiTest.createEmployeeReturns201AndMatchesSchema</t>
        </is>
      </c>
      <c r="E20" s="9" t="inlineStr">
        <is>
          <t>Yes</t>
        </is>
      </c>
    </row>
    <row r="21">
      <c r="A21" s="14" t="inlineStr">
        <is>
          <t>Part D</t>
        </is>
      </c>
      <c r="B21" s="15" t="inlineStr">
        <is>
          <t>Read back: GET matches what was sent</t>
        </is>
      </c>
      <c r="C21" s="15" t="inlineStr">
        <is>
          <t>TC-24 (D4)</t>
        </is>
      </c>
      <c r="D21" s="15" t="inlineStr">
        <is>
          <t>EmployeeApiTest.getEmployeeMatchesSubmittedData</t>
        </is>
      </c>
      <c r="E21" s="14" t="inlineStr">
        <is>
          <t>Yes</t>
        </is>
      </c>
    </row>
    <row r="22">
      <c r="A22" s="9" t="inlineStr">
        <is>
          <t>Part D</t>
        </is>
      </c>
      <c r="B22" s="13" t="inlineStr">
        <is>
          <t>Validation: bad PPSN returns 400 with a useful message</t>
        </is>
      </c>
      <c r="C22" s="13" t="inlineStr">
        <is>
          <t>TC-24 (D5)</t>
        </is>
      </c>
      <c r="D22" s="13" t="inlineStr">
        <is>
          <t>EmployeeApiTest.createEmployeeWithInvalidPpsnReturns400</t>
        </is>
      </c>
      <c r="E22" s="9" t="inlineStr">
        <is>
          <t>Yes</t>
        </is>
      </c>
    </row>
    <row r="23">
      <c r="A23" s="14" t="inlineStr">
        <is>
          <t>Part D</t>
        </is>
      </c>
      <c r="B23" s="15" t="inlineStr">
        <is>
          <t>UI and API cross-check</t>
        </is>
      </c>
      <c r="C23" s="15" t="inlineStr">
        <is>
          <t>TC-24 (D6)</t>
        </is>
      </c>
      <c r="D23" s="15" t="inlineStr">
        <is>
          <t>EmployeeApiTest.apiCreatedEmployeeIsVisibleInEmployerPortal</t>
        </is>
      </c>
      <c r="E23" s="14" t="inlineStr">
        <is>
          <t>Yes</t>
        </is>
      </c>
    </row>
    <row r="24">
      <c r="A24" s="9" t="inlineStr">
        <is>
          <t>Part A</t>
        </is>
      </c>
      <c r="B24" s="13" t="inlineStr">
        <is>
          <t>Negative and edge cases left manual (admin-side validations, bad upload file, PEP rule)</t>
        </is>
      </c>
      <c r="C24" s="13" t="inlineStr">
        <is>
          <t>TC-02, 04, 05, 06, 08, 11, 22</t>
        </is>
      </c>
      <c r="D24" s="13" t="inlineStr">
        <is>
          <t>Manual</t>
        </is>
      </c>
      <c r="E24" s="9" t="inlineStr">
        <is>
          <t>Manual</t>
        </is>
      </c>
    </row>
    <row r="25">
      <c r="A25" s="14" t="inlineStr">
        <is>
          <t>Part F</t>
        </is>
      </c>
      <c r="B25" s="15" t="inlineStr">
        <is>
          <t>Mobile smoke test with Appium</t>
        </is>
      </c>
      <c r="C25" s="15" t="inlineStr">
        <is>
          <t>-</t>
        </is>
      </c>
      <c r="D25" s="15" t="inlineStr">
        <is>
          <t>Not attempted</t>
        </is>
      </c>
      <c r="E25" s="14" t="inlineStr">
        <is>
          <t>No</t>
        </is>
      </c>
    </row>
    <row r="26">
      <c r="A26" s="9" t="inlineStr">
        <is>
          <t>Part F</t>
        </is>
      </c>
      <c r="B26" s="13" t="inlineStr">
        <is>
          <t>Parallel or cross-browser UI run</t>
        </is>
      </c>
      <c r="C26" s="13" t="inlineStr">
        <is>
          <t>-</t>
        </is>
      </c>
      <c r="D26" s="13" t="inlineStr">
        <is>
          <t>Not attempted (browser is selectable with -Dbrowser)</t>
        </is>
      </c>
      <c r="E26" s="9"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2026-10-19T10:29:52Z</dcterms:created>
  <dcterms:modified xsi:type="dcterms:W3CDTF">2026-10-19T10:29:52Z</dcterms:modified>
</cp:coreProperties>
</file>